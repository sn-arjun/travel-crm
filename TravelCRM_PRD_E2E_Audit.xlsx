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Feature Detail" sheetId="2" state="visible" r:id="rId4"/>
    <sheet name="Stats" sheetId="3" state="visible" r:id="rId5"/>
    <sheet name="Gaps &amp; Next Steps" sheetId="4" state="visible" r:id="rId6"/>
  </sheets>
  <definedNames>
    <definedName function="false" hidden="true" localSheetId="1" name="_xlnm._FilterDatabase" vbProcedure="false">'Feature Detail'!$A$1:$H$253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<sst xmlns="http://schemas.openxmlformats.org/spreadsheetml/2006/main" count="2253" uniqueCount="677">
  <si>
    <t xml:space="preserve">TravelCRM Pro — PRD Coverage Audit</t>
  </si>
  <si>
    <t xml:space="preserve">Date: March 6, 2026 | Audit Type: End-to-End Feature Completeness</t>
  </si>
  <si>
    <t xml:space="preserve">Module</t>
  </si>
  <si>
    <t xml:space="preserve">Total Features</t>
  </si>
  <si>
    <t xml:space="preserve">Complete</t>
  </si>
  <si>
    <t xml:space="preserve">API Wired</t>
  </si>
  <si>
    <t xml:space="preserve">Frontend Only</t>
  </si>
  <si>
    <t xml:space="preserve">Missing</t>
  </si>
  <si>
    <t xml:space="preserve">Coverage %</t>
  </si>
  <si>
    <t xml:space="preserve">Priority</t>
  </si>
  <si>
    <t xml:space="preserve">Authentication</t>
  </si>
  <si>
    <t xml:space="preserve">P0</t>
  </si>
  <si>
    <t xml:space="preserve">Contacts</t>
  </si>
  <si>
    <t xml:space="preserve">Leads</t>
  </si>
  <si>
    <t xml:space="preserve">Itineraries</t>
  </si>
  <si>
    <t xml:space="preserve">Invoices</t>
  </si>
  <si>
    <t xml:space="preserve">Payments</t>
  </si>
  <si>
    <t xml:space="preserve">Suppliers</t>
  </si>
  <si>
    <t xml:space="preserve">P1</t>
  </si>
  <si>
    <t xml:space="preserve">Fleet Management</t>
  </si>
  <si>
    <t xml:space="preserve">Tasks</t>
  </si>
  <si>
    <t xml:space="preserve">Calendar/Events</t>
  </si>
  <si>
    <t xml:space="preserve">Follow-ups</t>
  </si>
  <si>
    <t xml:space="preserve">Documents</t>
  </si>
  <si>
    <t xml:space="preserve">Vouchers</t>
  </si>
  <si>
    <t xml:space="preserve">Visa/Travellers</t>
  </si>
  <si>
    <t xml:space="preserve">P2</t>
  </si>
  <si>
    <t xml:space="preserve">Communications</t>
  </si>
  <si>
    <t xml:space="preserve">Campaigns</t>
  </si>
  <si>
    <t xml:space="preserve">Marketing</t>
  </si>
  <si>
    <t xml:space="preserve">Notifications</t>
  </si>
  <si>
    <t xml:space="preserve">Reports</t>
  </si>
  <si>
    <t xml:space="preserve">Settings</t>
  </si>
  <si>
    <t xml:space="preserve">Import/Export</t>
  </si>
  <si>
    <t xml:space="preserve">AI Features</t>
  </si>
  <si>
    <t xml:space="preserve">P3</t>
  </si>
  <si>
    <t xml:space="preserve">VoIP</t>
  </si>
  <si>
    <t xml:space="preserve">Chatbot</t>
  </si>
  <si>
    <t xml:space="preserve">Bookmarks &amp; Notes</t>
  </si>
  <si>
    <t xml:space="preserve">Super Admin</t>
  </si>
  <si>
    <t xml:space="preserve">i18n</t>
  </si>
  <si>
    <t xml:space="preserve">Dashboard</t>
  </si>
  <si>
    <t xml:space="preserve">TOTAL</t>
  </si>
  <si>
    <t xml:space="preserve">Feature</t>
  </si>
  <si>
    <t xml:space="preserve">Frontend Page</t>
  </si>
  <si>
    <t xml:space="preserve">Backend Route</t>
  </si>
  <si>
    <t xml:space="preserve">DB Table</t>
  </si>
  <si>
    <t xml:space="preserve">End-to-End Status</t>
  </si>
  <si>
    <t xml:space="preserve">Notes</t>
  </si>
  <si>
    <t xml:space="preserve">Login with email/password</t>
  </si>
  <si>
    <t xml:space="preserve">/auth/login</t>
  </si>
  <si>
    <t xml:space="preserve">No</t>
  </si>
  <si>
    <t xml:space="preserve">Yes</t>
  </si>
  <si>
    <t xml:space="preserve">Uses hardcoded tokens, not real API</t>
  </si>
  <si>
    <t xml:space="preserve">Tenant resolution</t>
  </si>
  <si>
    <t xml:space="preserve">Backend route exists, not called</t>
  </si>
  <si>
    <t xml:space="preserve">Forgot password</t>
  </si>
  <si>
    <t xml:space="preserve">/auth/forgot-password</t>
  </si>
  <si>
    <t xml:space="preserve">Fake setTimeout submit</t>
  </si>
  <si>
    <t xml:space="preserve">Reset password</t>
  </si>
  <si>
    <t xml:space="preserve">/auth/reset-password</t>
  </si>
  <si>
    <t xml:space="preserve">OTP login</t>
  </si>
  <si>
    <t xml:space="preserve">No OTP page built</t>
  </si>
  <si>
    <t xml:space="preserve">Session management</t>
  </si>
  <si>
    <t xml:space="preserve">No sessions page</t>
  </si>
  <si>
    <t xml:space="preserve">JWT token refresh</t>
  </si>
  <si>
    <t xml:space="preserve">N/A</t>
  </si>
  <si>
    <t xml:space="preserve">Auth store has refresh logic</t>
  </si>
  <si>
    <t xml:space="preserve">Logout</t>
  </si>
  <si>
    <t xml:space="preserve">Auth store clearAuth()</t>
  </si>
  <si>
    <t xml:space="preserve">Contact list with pagination</t>
  </si>
  <si>
    <t xml:space="preserve">/contacts</t>
  </si>
  <si>
    <t xml:space="preserve">Calls contactsApi.list() with fallback</t>
  </si>
  <si>
    <t xml:space="preserve">Search contacts (FTS)</t>
  </si>
  <si>
    <t xml:space="preserve">Search param sent to API</t>
  </si>
  <si>
    <t xml:space="preserve">Filter by type/tag</t>
  </si>
  <si>
    <t xml:space="preserve">Filters sent to API</t>
  </si>
  <si>
    <t xml:space="preserve">Create new contact</t>
  </si>
  <si>
    <t xml:space="preserve">/contacts/new</t>
  </si>
  <si>
    <t xml:space="preserve">Form uses setTimeout</t>
  </si>
  <si>
    <t xml:space="preserve">Contact 360 detail view</t>
  </si>
  <si>
    <t xml:space="preserve">/contacts/[id]</t>
  </si>
  <si>
    <t xml:space="preserve">Uses mock data, not API</t>
  </si>
  <si>
    <t xml:space="preserve">Contact timeline</t>
  </si>
  <si>
    <t xml:space="preserve">Mock timeline data</t>
  </si>
  <si>
    <t xml:space="preserve">Edit contact</t>
  </si>
  <si>
    <t xml:space="preserve">No edit form wired</t>
  </si>
  <si>
    <t xml:space="preserve">Delete contact</t>
  </si>
  <si>
    <t xml:space="preserve">Delete button calls API</t>
  </si>
  <si>
    <t xml:space="preserve">Merge contacts</t>
  </si>
  <si>
    <t xml:space="preserve">No merge UI built</t>
  </si>
  <si>
    <t xml:space="preserve">Import contacts CSV</t>
  </si>
  <si>
    <t xml:space="preserve">/import</t>
  </si>
  <si>
    <t xml:space="preserve">Wizard UI only</t>
  </si>
  <si>
    <t xml:space="preserve">Export contacts</t>
  </si>
  <si>
    <t xml:space="preserve">Export button calls API</t>
  </si>
  <si>
    <t xml:space="preserve">Tags management</t>
  </si>
  <si>
    <t xml:space="preserve">Tags shown but not editable via API</t>
  </si>
  <si>
    <t xml:space="preserve">Custom fields</t>
  </si>
  <si>
    <t xml:space="preserve">No custom fields UI</t>
  </si>
  <si>
    <t xml:space="preserve">Share contact</t>
  </si>
  <si>
    <t xml:space="preserve">Button exists, not wired</t>
  </si>
  <si>
    <t xml:space="preserve">Upcoming occasions</t>
  </si>
  <si>
    <t xml:space="preserve">Customer report has birthday data</t>
  </si>
  <si>
    <t xml:space="preserve">Duplicate detection</t>
  </si>
  <si>
    <t xml:space="preserve">No check-duplicate call</t>
  </si>
  <si>
    <t xml:space="preserve">Lead list with pagination</t>
  </si>
  <si>
    <t xml:space="preserve">/leads</t>
  </si>
  <si>
    <t xml:space="preserve">Calls leadsApi.list() with fallback</t>
  </si>
  <si>
    <t xml:space="preserve">Kanban pipeline view</t>
  </si>
  <si>
    <t xml:space="preserve">Groups API data by status</t>
  </si>
  <si>
    <t xml:space="preserve">Search leads</t>
  </si>
  <si>
    <t xml:space="preserve">Search sent to API</t>
  </si>
  <si>
    <t xml:space="preserve">Filter by status/priority</t>
  </si>
  <si>
    <t xml:space="preserve">Create new lead</t>
  </si>
  <si>
    <t xml:space="preserve">/leads/new</t>
  </si>
  <si>
    <t xml:space="preserve">Calls leadsApi.create() with validation</t>
  </si>
  <si>
    <t xml:space="preserve">Edit lead</t>
  </si>
  <si>
    <t xml:space="preserve">Delete lead</t>
  </si>
  <si>
    <t xml:space="preserve">Bulk delete calls API</t>
  </si>
  <si>
    <t xml:space="preserve">Change lead status</t>
  </si>
  <si>
    <t xml:space="preserve">Status change calls API</t>
  </si>
  <si>
    <t xml:space="preserve">Assign lead</t>
  </si>
  <si>
    <t xml:space="preserve">Bulk assign calls API</t>
  </si>
  <si>
    <t xml:space="preserve">Lead activities log</t>
  </si>
  <si>
    <t xml:space="preserve">Detail panel shows mock activities</t>
  </si>
  <si>
    <t xml:space="preserve">Add notes to lead</t>
  </si>
  <si>
    <t xml:space="preserve">Note form not wired</t>
  </si>
  <si>
    <t xml:space="preserve">Follow-ups per lead</t>
  </si>
  <si>
    <t xml:space="preserve">Shows mock follow-ups</t>
  </si>
  <si>
    <t xml:space="preserve">Lost reason tracking</t>
  </si>
  <si>
    <t xml:space="preserve">Lost dialog exists, not wired</t>
  </si>
  <si>
    <t xml:space="preserve">Bulk status change</t>
  </si>
  <si>
    <t xml:space="preserve">Calls leadsApi.bulkStatus()</t>
  </si>
  <si>
    <t xml:space="preserve">Lead detail view</t>
  </si>
  <si>
    <t xml:space="preserve">Sheet fetches from API</t>
  </si>
  <si>
    <t xml:space="preserve">AI lead scoring</t>
  </si>
  <si>
    <t xml:space="preserve">Backend exists, no UI display</t>
  </si>
  <si>
    <t xml:space="preserve">Itinerary list</t>
  </si>
  <si>
    <t xml:space="preserve">/itineraries</t>
  </si>
  <si>
    <t xml:space="preserve">Calls itinerariesApi.list()</t>
  </si>
  <si>
    <t xml:space="preserve">Create itinerary</t>
  </si>
  <si>
    <t xml:space="preserve">/itineraries/new</t>
  </si>
  <si>
    <t xml:space="preserve">Builder exists, form not wired</t>
  </si>
  <si>
    <t xml:space="preserve">Day-based builder</t>
  </si>
  <si>
    <t xml:space="preserve">UI complete, no API submit</t>
  </si>
  <si>
    <t xml:space="preserve">Per-type item fields</t>
  </si>
  <si>
    <t xml:space="preserve">Hotel/flight/transfer fields exist</t>
  </si>
  <si>
    <t xml:space="preserve">Version management</t>
  </si>
  <si>
    <t xml:space="preserve">/itineraries/[id]</t>
  </si>
  <si>
    <t xml:space="preserve">Version UI exists, not wired</t>
  </si>
  <si>
    <t xml:space="preserve">Clone itinerary</t>
  </si>
  <si>
    <t xml:space="preserve">Clone button calls API</t>
  </si>
  <si>
    <t xml:space="preserve">Templates</t>
  </si>
  <si>
    <t xml:space="preserve">No template browser page</t>
  </si>
  <si>
    <t xml:space="preserve">Share link</t>
  </si>
  <si>
    <t xml:space="preserve">Share tab exists, not wired</t>
  </si>
  <si>
    <t xml:space="preserve">Send via email</t>
  </si>
  <si>
    <t xml:space="preserve">PDF generation</t>
  </si>
  <si>
    <t xml:space="preserve">Button exists, no PDF service</t>
  </si>
  <si>
    <t xml:space="preserve">Itinerary detail view</t>
  </si>
  <si>
    <t xml:space="preserve">Uses inline mock data</t>
  </si>
  <si>
    <t xml:space="preserve">Tax/markup calculation</t>
  </si>
  <si>
    <t xml:space="preserve">Calculates in UI only</t>
  </si>
  <si>
    <t xml:space="preserve">Invoice list</t>
  </si>
  <si>
    <t xml:space="preserve">/invoices</t>
  </si>
  <si>
    <t xml:space="preserve">Calls invoicesApi.list()</t>
  </si>
  <si>
    <t xml:space="preserve">Create invoice</t>
  </si>
  <si>
    <t xml:space="preserve">/invoices/new</t>
  </si>
  <si>
    <t xml:space="preserve">Line items with tax</t>
  </si>
  <si>
    <t xml:space="preserve">GST calc in UI, not submitted</t>
  </si>
  <si>
    <t xml:space="preserve">Invoice detail</t>
  </si>
  <si>
    <t xml:space="preserve">/invoices/[id]</t>
  </si>
  <si>
    <t xml:space="preserve">Status management</t>
  </si>
  <si>
    <t xml:space="preserve">Status filter calls API</t>
  </si>
  <si>
    <t xml:space="preserve">Void invoice</t>
  </si>
  <si>
    <t xml:space="preserve">Action calls API</t>
  </si>
  <si>
    <t xml:space="preserve">Duplicate invoice</t>
  </si>
  <si>
    <t xml:space="preserve">Invoice PDF</t>
  </si>
  <si>
    <t xml:space="preserve">Send invoice email</t>
  </si>
  <si>
    <t xml:space="preserve">Button not wired</t>
  </si>
  <si>
    <t xml:space="preserve">Payment tracking</t>
  </si>
  <si>
    <t xml:space="preserve">Shows mock payment data</t>
  </si>
  <si>
    <t xml:space="preserve">Payment list</t>
  </si>
  <si>
    <t xml:space="preserve">/payments</t>
  </si>
  <si>
    <t xml:space="preserve">Calls paymentsApi.list()</t>
  </si>
  <si>
    <t xml:space="preserve">Record payment</t>
  </si>
  <si>
    <t xml:space="preserve">Dialog calls paymentsApi.create()</t>
  </si>
  <si>
    <t xml:space="preserve">Link to invoice</t>
  </si>
  <si>
    <t xml:space="preserve">Links in table</t>
  </si>
  <si>
    <t xml:space="preserve">Payment methods filter</t>
  </si>
  <si>
    <t xml:space="preserve">Filter sent to API</t>
  </si>
  <si>
    <t xml:space="preserve">Delete payment</t>
  </si>
  <si>
    <t xml:space="preserve">No delete button</t>
  </si>
  <si>
    <t xml:space="preserve">Supplier list</t>
  </si>
  <si>
    <t xml:space="preserve">/suppliers</t>
  </si>
  <si>
    <t xml:space="preserve">Calls suppliersApi.list()</t>
  </si>
  <si>
    <t xml:space="preserve">Create supplier</t>
  </si>
  <si>
    <t xml:space="preserve">/suppliers/new</t>
  </si>
  <si>
    <t xml:space="preserve">Supplier detail</t>
  </si>
  <si>
    <t xml:space="preserve">No /suppliers/[id] page</t>
  </si>
  <si>
    <t xml:space="preserve">Rate cards per supplier</t>
  </si>
  <si>
    <t xml:space="preserve">No supplier rate card UI</t>
  </si>
  <si>
    <t xml:space="preserve">Supplier payments</t>
  </si>
  <si>
    <t xml:space="preserve">Backend exists</t>
  </si>
  <si>
    <t xml:space="preserve">Supplier ledger</t>
  </si>
  <si>
    <t xml:space="preserve">No ledger page</t>
  </si>
  <si>
    <t xml:space="preserve">Compare rates</t>
  </si>
  <si>
    <t xml:space="preserve">No comparison page</t>
  </si>
  <si>
    <t xml:space="preserve">Preferred supplier</t>
  </si>
  <si>
    <t xml:space="preserve">Badge shown, not toggleable</t>
  </si>
  <si>
    <t xml:space="preserve">Rate supplier</t>
  </si>
  <si>
    <t xml:space="preserve">Stars shown, not interactive</t>
  </si>
  <si>
    <t xml:space="preserve">Filter by type</t>
  </si>
  <si>
    <t xml:space="preserve">Fleet</t>
  </si>
  <si>
    <t xml:space="preserve">Fleet dashboard</t>
  </si>
  <si>
    <t xml:space="preserve">/fleet</t>
  </si>
  <si>
    <t xml:space="preserve">All mock data</t>
  </si>
  <si>
    <t xml:space="preserve">Vehicle list</t>
  </si>
  <si>
    <t xml:space="preserve">/fleet/vehicles</t>
  </si>
  <si>
    <t xml:space="preserve">fleet-mock-data.ts</t>
  </si>
  <si>
    <t xml:space="preserve">Create vehicle</t>
  </si>
  <si>
    <t xml:space="preserve">/fleet/vehicles/new</t>
  </si>
  <si>
    <t xml:space="preserve">setTimeout form</t>
  </si>
  <si>
    <t xml:space="preserve">Vehicle detail</t>
  </si>
  <si>
    <t xml:space="preserve">/fleet/vehicles/[id]</t>
  </si>
  <si>
    <t xml:space="preserve">Mock data detail</t>
  </si>
  <si>
    <t xml:space="preserve">Edit vehicle</t>
  </si>
  <si>
    <t xml:space="preserve">/fleet/vehicles/[id]/edit</t>
  </si>
  <si>
    <t xml:space="preserve">Driver list</t>
  </si>
  <si>
    <t xml:space="preserve">/fleet/drivers</t>
  </si>
  <si>
    <t xml:space="preserve">Create driver</t>
  </si>
  <si>
    <t xml:space="preserve">/fleet/drivers/new</t>
  </si>
  <si>
    <t xml:space="preserve">Driver detail</t>
  </si>
  <si>
    <t xml:space="preserve">/fleet/drivers/[id]</t>
  </si>
  <si>
    <t xml:space="preserve">Edit driver</t>
  </si>
  <si>
    <t xml:space="preserve">/fleet/drivers/[id]/edit</t>
  </si>
  <si>
    <t xml:space="preserve">Trip list</t>
  </si>
  <si>
    <t xml:space="preserve">/fleet/trips</t>
  </si>
  <si>
    <t xml:space="preserve">Create trip</t>
  </si>
  <si>
    <t xml:space="preserve">/fleet/trips/new</t>
  </si>
  <si>
    <t xml:space="preserve">Trip detail</t>
  </si>
  <si>
    <t xml:space="preserve">/fleet/trips/[id]</t>
  </si>
  <si>
    <t xml:space="preserve">Edit trip</t>
  </si>
  <si>
    <t xml:space="preserve">/fleet/trips/[id]/edit</t>
  </si>
  <si>
    <t xml:space="preserve">Rate cards</t>
  </si>
  <si>
    <t xml:space="preserve">/fleet/rate-cards</t>
  </si>
  <si>
    <t xml:space="preserve">Create rate card</t>
  </si>
  <si>
    <t xml:space="preserve">/fleet/rate-cards/new</t>
  </si>
  <si>
    <t xml:space="preserve">Fleet alerts</t>
  </si>
  <si>
    <t xml:space="preserve">/fleet/alerts</t>
  </si>
  <si>
    <t xml:space="preserve">Mock alerts</t>
  </si>
  <si>
    <t xml:space="preserve">GPS tracking</t>
  </si>
  <si>
    <t xml:space="preserve">Not in backend either</t>
  </si>
  <si>
    <t xml:space="preserve">Fuel management</t>
  </si>
  <si>
    <t xml:space="preserve">TripCosts table exists</t>
  </si>
  <si>
    <t xml:space="preserve">Task list</t>
  </si>
  <si>
    <t xml:space="preserve">/tasks</t>
  </si>
  <si>
    <t xml:space="preserve">Inline mock tasks</t>
  </si>
  <si>
    <t xml:space="preserve">Create task</t>
  </si>
  <si>
    <t xml:space="preserve">Dialog not wired</t>
  </si>
  <si>
    <t xml:space="preserve">Update task status</t>
  </si>
  <si>
    <t xml:space="preserve">UI only state</t>
  </si>
  <si>
    <t xml:space="preserve">Subtasks</t>
  </si>
  <si>
    <t xml:space="preserve">Mock subtasks shown</t>
  </si>
  <si>
    <t xml:space="preserve">Task comments</t>
  </si>
  <si>
    <t xml:space="preserve">Mock comments shown</t>
  </si>
  <si>
    <t xml:space="preserve">Board/kanban view</t>
  </si>
  <si>
    <t xml:space="preserve">Kanban columns work on mock</t>
  </si>
  <si>
    <t xml:space="preserve">Task detail panel</t>
  </si>
  <si>
    <t xml:space="preserve">Sheet panel, mock data</t>
  </si>
  <si>
    <t xml:space="preserve">Link to lead</t>
  </si>
  <si>
    <t xml:space="preserve">Badge shows linked lead</t>
  </si>
  <si>
    <t xml:space="preserve">Filter by assignee</t>
  </si>
  <si>
    <t xml:space="preserve">UI filter only</t>
  </si>
  <si>
    <t xml:space="preserve">Dashboard summary</t>
  </si>
  <si>
    <t xml:space="preserve">/dashboard</t>
  </si>
  <si>
    <t xml:space="preserve">Calls tasksApi</t>
  </si>
  <si>
    <t xml:space="preserve">Calendar</t>
  </si>
  <si>
    <t xml:space="preserve">Month view</t>
  </si>
  <si>
    <t xml:space="preserve">/calendar</t>
  </si>
  <si>
    <t xml:space="preserve">Uses mock events</t>
  </si>
  <si>
    <t xml:space="preserve">Week view</t>
  </si>
  <si>
    <t xml:space="preserve">View toggle exists</t>
  </si>
  <si>
    <t xml:space="preserve">Create event</t>
  </si>
  <si>
    <t xml:space="preserve">Dialog exists, not wired</t>
  </si>
  <si>
    <t xml:space="preserve">Edit event</t>
  </si>
  <si>
    <t xml:space="preserve">No edit functionality</t>
  </si>
  <si>
    <t xml:space="preserve">Delete event</t>
  </si>
  <si>
    <t xml:space="preserve">No delete</t>
  </si>
  <si>
    <t xml:space="preserve">Event type colors</t>
  </si>
  <si>
    <t xml:space="preserve">Color coding works</t>
  </si>
  <si>
    <t xml:space="preserve">Follow-up events</t>
  </si>
  <si>
    <t xml:space="preserve">Mock follow-ups merged</t>
  </si>
  <si>
    <t xml:space="preserve">Reschedule event</t>
  </si>
  <si>
    <t xml:space="preserve">No drag/reschedule</t>
  </si>
  <si>
    <t xml:space="preserve">Follow-up list</t>
  </si>
  <si>
    <t xml:space="preserve">No dedicated page</t>
  </si>
  <si>
    <t xml:space="preserve">Schedule follow-up</t>
  </si>
  <si>
    <t xml:space="preserve">Only in lead detail</t>
  </si>
  <si>
    <t xml:space="preserve">Complete follow-up</t>
  </si>
  <si>
    <t xml:space="preserve">No completion flow</t>
  </si>
  <si>
    <t xml:space="preserve">Overdue tracking</t>
  </si>
  <si>
    <t xml:space="preserve">Dashboard shows count</t>
  </si>
  <si>
    <t xml:space="preserve">Auto-sequences</t>
  </si>
  <si>
    <t xml:space="preserve">Backend has sequences</t>
  </si>
  <si>
    <t xml:space="preserve">Document list</t>
  </si>
  <si>
    <t xml:space="preserve">/documents</t>
  </si>
  <si>
    <t xml:space="preserve">Calls documentsApi.list()</t>
  </si>
  <si>
    <t xml:space="preserve">Upload document</t>
  </si>
  <si>
    <t xml:space="preserve">Upload area, not wired</t>
  </si>
  <si>
    <t xml:space="preserve">Download document</t>
  </si>
  <si>
    <t xml:space="preserve">Download calls API</t>
  </si>
  <si>
    <t xml:space="preserve">Delete document</t>
  </si>
  <si>
    <t xml:space="preserve">No delete button wired</t>
  </si>
  <si>
    <t xml:space="preserve">AI OCR extraction</t>
  </si>
  <si>
    <t xml:space="preserve">/ai/ocr</t>
  </si>
  <si>
    <t xml:space="preserve">Mock OCR results</t>
  </si>
  <si>
    <t xml:space="preserve">Voucher list</t>
  </si>
  <si>
    <t xml:space="preserve">/vouchers</t>
  </si>
  <si>
    <t xml:space="preserve">Calls vouchersApi.list()</t>
  </si>
  <si>
    <t xml:space="preserve">Create voucher</t>
  </si>
  <si>
    <t xml:space="preserve">/vouchers/new</t>
  </si>
  <si>
    <t xml:space="preserve">Multi-step form, not wired</t>
  </si>
  <si>
    <t xml:space="preserve">Voucher detail</t>
  </si>
  <si>
    <t xml:space="preserve">/vouchers/[id]</t>
  </si>
  <si>
    <t xml:space="preserve">Mock detail data</t>
  </si>
  <si>
    <t xml:space="preserve">Hotel voucher type</t>
  </si>
  <si>
    <t xml:space="preserve">Type fields exist</t>
  </si>
  <si>
    <t xml:space="preserve">Transport voucher type</t>
  </si>
  <si>
    <t xml:space="preserve">Flight voucher type</t>
  </si>
  <si>
    <t xml:space="preserve">Send voucher</t>
  </si>
  <si>
    <t xml:space="preserve">Voucher PDF</t>
  </si>
  <si>
    <t xml:space="preserve">No PDF service</t>
  </si>
  <si>
    <t xml:space="preserve">Visa</t>
  </si>
  <si>
    <t xml:space="preserve">Visa list</t>
  </si>
  <si>
    <t xml:space="preserve">/visa</t>
  </si>
  <si>
    <t xml:space="preserve">Inline mock data</t>
  </si>
  <si>
    <t xml:space="preserve">Create visa record</t>
  </si>
  <si>
    <t xml:space="preserve">No create form</t>
  </si>
  <si>
    <t xml:space="preserve">Visa detail</t>
  </si>
  <si>
    <t xml:space="preserve">No detail page</t>
  </si>
  <si>
    <t xml:space="preserve">Document checklist</t>
  </si>
  <si>
    <t xml:space="preserve">Backend has checklist</t>
  </si>
  <si>
    <t xml:space="preserve">Traveller CRUD</t>
  </si>
  <si>
    <t xml:space="preserve">No traveller pages</t>
  </si>
  <si>
    <t xml:space="preserve">Visa notes</t>
  </si>
  <si>
    <t xml:space="preserve">Status tracking</t>
  </si>
  <si>
    <t xml:space="preserve">Status shown in list</t>
  </si>
  <si>
    <t xml:space="preserve">Expiry alerts</t>
  </si>
  <si>
    <t xml:space="preserve">Shown in mock</t>
  </si>
  <si>
    <t xml:space="preserve">Message inbox</t>
  </si>
  <si>
    <t xml:space="preserve">/communication</t>
  </si>
  <si>
    <t xml:space="preserve">Mock messages</t>
  </si>
  <si>
    <t xml:space="preserve">Send email</t>
  </si>
  <si>
    <t xml:space="preserve">Compose not wired</t>
  </si>
  <si>
    <t xml:space="preserve">Send SMS</t>
  </si>
  <si>
    <t xml:space="preserve">Tab exists, not wired</t>
  </si>
  <si>
    <t xml:space="preserve">Send WhatsApp</t>
  </si>
  <si>
    <t xml:space="preserve">Call log</t>
  </si>
  <si>
    <t xml:space="preserve">/communication/calls</t>
  </si>
  <si>
    <t xml:space="preserve">Mock call data</t>
  </si>
  <si>
    <t xml:space="preserve">/communication/templates</t>
  </si>
  <si>
    <t xml:space="preserve">Mock templates</t>
  </si>
  <si>
    <t xml:space="preserve">Bulk send</t>
  </si>
  <si>
    <t xml:space="preserve">No bulk UI</t>
  </si>
  <si>
    <t xml:space="preserve">Message history</t>
  </si>
  <si>
    <t xml:space="preserve">Mock history</t>
  </si>
  <si>
    <t xml:space="preserve">Campaign list</t>
  </si>
  <si>
    <t xml:space="preserve">/campaigns</t>
  </si>
  <si>
    <t xml:space="preserve">Inline mock campaigns</t>
  </si>
  <si>
    <t xml:space="preserve">Create campaign</t>
  </si>
  <si>
    <t xml:space="preserve">/campaigns/new</t>
  </si>
  <si>
    <t xml:space="preserve">Send campaign</t>
  </si>
  <si>
    <t xml:space="preserve">Schedule campaign</t>
  </si>
  <si>
    <t xml:space="preserve">Not wired</t>
  </si>
  <si>
    <t xml:space="preserve">Campaign analytics</t>
  </si>
  <si>
    <t xml:space="preserve">Mock metrics</t>
  </si>
  <si>
    <t xml:space="preserve">WhatsApp campaigns</t>
  </si>
  <si>
    <t xml:space="preserve">No WA campaign page</t>
  </si>
  <si>
    <t xml:space="preserve">Audience segments</t>
  </si>
  <si>
    <t xml:space="preserve">No segment builder</t>
  </si>
  <si>
    <t xml:space="preserve">A/B testing</t>
  </si>
  <si>
    <t xml:space="preserve">Not in PRD scope</t>
  </si>
  <si>
    <t xml:space="preserve">Flyer builder</t>
  </si>
  <si>
    <t xml:space="preserve">/marketing/flyers</t>
  </si>
  <si>
    <t xml:space="preserve">Template gallery, no API</t>
  </si>
  <si>
    <t xml:space="preserve">Social content</t>
  </si>
  <si>
    <t xml:space="preserve">/marketing/social</t>
  </si>
  <si>
    <t xml:space="preserve">AI gen UI, not wired</t>
  </si>
  <si>
    <t xml:space="preserve">Branding settings</t>
  </si>
  <si>
    <t xml:space="preserve">No branding page</t>
  </si>
  <si>
    <t xml:space="preserve">Image library</t>
  </si>
  <si>
    <t xml:space="preserve">No image management</t>
  </si>
  <si>
    <t xml:space="preserve">Segments CRUD</t>
  </si>
  <si>
    <t xml:space="preserve">No segment page</t>
  </si>
  <si>
    <t xml:space="preserve">Opt-out management</t>
  </si>
  <si>
    <t xml:space="preserve">Flyer templates</t>
  </si>
  <si>
    <t xml:space="preserve">Gallery shown, mock</t>
  </si>
  <si>
    <t xml:space="preserve">Flyer sharing</t>
  </si>
  <si>
    <t xml:space="preserve">Share buttons not wired</t>
  </si>
  <si>
    <t xml:space="preserve">Social scheduling</t>
  </si>
  <si>
    <t xml:space="preserve">Not in backend</t>
  </si>
  <si>
    <t xml:space="preserve">AI content generation</t>
  </si>
  <si>
    <t xml:space="preserve">Mock AI output</t>
  </si>
  <si>
    <t xml:space="preserve">Notification list</t>
  </si>
  <si>
    <t xml:space="preserve">/notifications</t>
  </si>
  <si>
    <t xml:space="preserve">Calls notificationsApi.list()</t>
  </si>
  <si>
    <t xml:space="preserve">Mark as read</t>
  </si>
  <si>
    <t xml:space="preserve">Calls markAsRead()</t>
  </si>
  <si>
    <t xml:space="preserve">Mark all read</t>
  </si>
  <si>
    <t xml:space="preserve">Calls markAllRead()</t>
  </si>
  <si>
    <t xml:space="preserve">Unread count badge</t>
  </si>
  <si>
    <t xml:space="preserve">Sidebar badge from API</t>
  </si>
  <si>
    <t xml:space="preserve">Notification preferences</t>
  </si>
  <si>
    <t xml:space="preserve">/settings</t>
  </si>
  <si>
    <t xml:space="preserve">Settings tab exists</t>
  </si>
  <si>
    <t xml:space="preserve">Quiet hours</t>
  </si>
  <si>
    <t xml:space="preserve">Backend route exists</t>
  </si>
  <si>
    <t xml:space="preserve">Reports hub</t>
  </si>
  <si>
    <t xml:space="preserve">/reports</t>
  </si>
  <si>
    <t xml:space="preserve">Links to sub-pages</t>
  </si>
  <si>
    <t xml:space="preserve">Sales reports (8)</t>
  </si>
  <si>
    <t xml:space="preserve">/reports/sales</t>
  </si>
  <si>
    <t xml:space="preserve">Charts with hardcoded data</t>
  </si>
  <si>
    <t xml:space="preserve">Lead reports (8)</t>
  </si>
  <si>
    <t xml:space="preserve">/reports/leads</t>
  </si>
  <si>
    <t xml:space="preserve">Financial reports (9)</t>
  </si>
  <si>
    <t xml:space="preserve">/reports/financial</t>
  </si>
  <si>
    <t xml:space="preserve">Team reports (6)</t>
  </si>
  <si>
    <t xml:space="preserve">/reports/team</t>
  </si>
  <si>
    <t xml:space="preserve">Customer reports (7)</t>
  </si>
  <si>
    <t xml:space="preserve">/reports/customer</t>
  </si>
  <si>
    <t xml:space="preserve">Visa reports (5)</t>
  </si>
  <si>
    <t xml:space="preserve">/reports/visa</t>
  </si>
  <si>
    <t xml:space="preserve">Supplier reports (6)</t>
  </si>
  <si>
    <t xml:space="preserve">/reports/supplier</t>
  </si>
  <si>
    <t xml:space="preserve">Marketing reports (7)</t>
  </si>
  <si>
    <t xml:space="preserve">/reports/marketing</t>
  </si>
  <si>
    <t xml:space="preserve">Pipeline reports</t>
  </si>
  <si>
    <t xml:space="preserve">/reports/pipeline</t>
  </si>
  <si>
    <t xml:space="preserve">Revenue reports</t>
  </si>
  <si>
    <t xml:space="preserve">/reports/revenue</t>
  </si>
  <si>
    <t xml:space="preserve">Export report PDF/CSV</t>
  </si>
  <si>
    <t xml:space="preserve">Export button mock only</t>
  </si>
  <si>
    <t xml:space="preserve">Fleet reports</t>
  </si>
  <si>
    <t xml:space="preserve">/reports/fleet</t>
  </si>
  <si>
    <t xml:space="preserve">Company settings</t>
  </si>
  <si>
    <t xml:space="preserve">Form not wired to API</t>
  </si>
  <si>
    <t xml:space="preserve">Branding (logo/colors)</t>
  </si>
  <si>
    <t xml:space="preserve">Invoice configuration</t>
  </si>
  <si>
    <t xml:space="preserve">Assignment rules</t>
  </si>
  <si>
    <t xml:space="preserve">Auto-reminders</t>
  </si>
  <si>
    <t xml:space="preserve">Toggle list, not wired</t>
  </si>
  <si>
    <t xml:space="preserve">Integration settings</t>
  </si>
  <si>
    <t xml:space="preserve">Placeholder tab</t>
  </si>
  <si>
    <t xml:space="preserve">Security settings</t>
  </si>
  <si>
    <t xml:space="preserve">Chatbot configuration</t>
  </si>
  <si>
    <t xml:space="preserve">/settings/chatbot</t>
  </si>
  <si>
    <t xml:space="preserve">4 tabs, setTimeout submit</t>
  </si>
  <si>
    <t xml:space="preserve">CSV upload</t>
  </si>
  <si>
    <t xml:space="preserve">Drag-drop area, not wired</t>
  </si>
  <si>
    <t xml:space="preserve">Column mapping</t>
  </si>
  <si>
    <t xml:space="preserve">Mapping UI only</t>
  </si>
  <si>
    <t xml:space="preserve">Duplicate handling</t>
  </si>
  <si>
    <t xml:space="preserve">Radio options only</t>
  </si>
  <si>
    <t xml:space="preserve">Import progress</t>
  </si>
  <si>
    <t xml:space="preserve">No polling for progress</t>
  </si>
  <si>
    <t xml:space="preserve">Import templates</t>
  </si>
  <si>
    <t xml:space="preserve">No template download</t>
  </si>
  <si>
    <t xml:space="preserve">Export full data</t>
  </si>
  <si>
    <t xml:space="preserve">No full export UI</t>
  </si>
  <si>
    <t xml:space="preserve">AI assistant panel</t>
  </si>
  <si>
    <t xml:space="preserve">Component</t>
  </si>
  <si>
    <t xml:space="preserve">Mock AI responses</t>
  </si>
  <si>
    <t xml:space="preserve">NL query interface</t>
  </si>
  <si>
    <t xml:space="preserve">Mock responses</t>
  </si>
  <si>
    <t xml:space="preserve">AI insights</t>
  </si>
  <si>
    <t xml:space="preserve">Mock insights</t>
  </si>
  <si>
    <t xml:space="preserve">AI recommendations</t>
  </si>
  <si>
    <t xml:space="preserve">Mock recommendations</t>
  </si>
  <si>
    <t xml:space="preserve">Lead scoring</t>
  </si>
  <si>
    <t xml:space="preserve">No scoring display</t>
  </si>
  <si>
    <t xml:space="preserve">Smart follow-ups</t>
  </si>
  <si>
    <t xml:space="preserve">Daily briefing</t>
  </si>
  <si>
    <t xml:space="preserve">Mock briefing data</t>
  </si>
  <si>
    <t xml:space="preserve">Health score</t>
  </si>
  <si>
    <t xml:space="preserve">Mock score data</t>
  </si>
  <si>
    <t xml:space="preserve">OCR passport</t>
  </si>
  <si>
    <t xml:space="preserve">OCR visa classify</t>
  </si>
  <si>
    <t xml:space="preserve">Mock classification</t>
  </si>
  <si>
    <t xml:space="preserve">OCR supplier invoice</t>
  </si>
  <si>
    <t xml:space="preserve">Mock extraction</t>
  </si>
  <si>
    <t xml:space="preserve">Generate itinerary</t>
  </si>
  <si>
    <t xml:space="preserve">Backend AI exists</t>
  </si>
  <si>
    <t xml:space="preserve">Compose message AI</t>
  </si>
  <si>
    <t xml:space="preserve">Trending destinations</t>
  </si>
  <si>
    <t xml:space="preserve">Backend BI exists</t>
  </si>
  <si>
    <t xml:space="preserve">Click-to-call button</t>
  </si>
  <si>
    <t xml:space="preserve">Mock call initiation</t>
  </si>
  <si>
    <t xml:space="preserve">Call controls panel</t>
  </si>
  <si>
    <t xml:space="preserve">Mock call state</t>
  </si>
  <si>
    <t xml:space="preserve">VoIP settings</t>
  </si>
  <si>
    <t xml:space="preserve">No VoIP settings page</t>
  </si>
  <si>
    <t xml:space="preserve">Phone number management</t>
  </si>
  <si>
    <t xml:space="preserve">No number management</t>
  </si>
  <si>
    <t xml:space="preserve">Call analytics</t>
  </si>
  <si>
    <t xml:space="preserve">Call transcripts</t>
  </si>
  <si>
    <t xml:space="preserve">Mock transcript</t>
  </si>
  <si>
    <t xml:space="preserve">Outbound calls</t>
  </si>
  <si>
    <t xml:space="preserve">No outbound flow</t>
  </si>
  <si>
    <t xml:space="preserve">Missed calls list</t>
  </si>
  <si>
    <t xml:space="preserve">Website bot config</t>
  </si>
  <si>
    <t xml:space="preserve">Form not wired</t>
  </si>
  <si>
    <t xml:space="preserve">WhatsApp bot config</t>
  </si>
  <si>
    <t xml:space="preserve">Tab exists</t>
  </si>
  <si>
    <t xml:space="preserve">FAQ management</t>
  </si>
  <si>
    <t xml:space="preserve">CRUD UI, not wired</t>
  </si>
  <si>
    <t xml:space="preserve">Business hours</t>
  </si>
  <si>
    <t xml:space="preserve">Day toggles, not wired</t>
  </si>
  <si>
    <t xml:space="preserve">Bot conversations</t>
  </si>
  <si>
    <t xml:space="preserve">No conversation viewer</t>
  </si>
  <si>
    <t xml:space="preserve">Bot analytics</t>
  </si>
  <si>
    <t xml:space="preserve">Bookmarks</t>
  </si>
  <si>
    <t xml:space="preserve">Bookmark list</t>
  </si>
  <si>
    <t xml:space="preserve">/bookmarks</t>
  </si>
  <si>
    <t xml:space="preserve">Calls bookmarksApi.list()</t>
  </si>
  <si>
    <t xml:space="preserve">Remove bookmark</t>
  </si>
  <si>
    <t xml:space="preserve">Calls bookmarksApi.delete()</t>
  </si>
  <si>
    <t xml:space="preserve">Add bookmark</t>
  </si>
  <si>
    <t xml:space="preserve">Various pages</t>
  </si>
  <si>
    <t xml:space="preserve">Star icons on pages</t>
  </si>
  <si>
    <t xml:space="preserve">Sticky notes</t>
  </si>
  <si>
    <t xml:space="preserve">Widget on dashboard, mock</t>
  </si>
  <si>
    <t xml:space="preserve">Admin dashboard</t>
  </si>
  <si>
    <t xml:space="preserve">super-admin</t>
  </si>
  <si>
    <t xml:space="preserve">Mock tenant stats</t>
  </si>
  <si>
    <t xml:space="preserve">Tenant list</t>
  </si>
  <si>
    <t xml:space="preserve">Mock tenant data</t>
  </si>
  <si>
    <t xml:space="preserve">Tenant detail</t>
  </si>
  <si>
    <t xml:space="preserve">Feature flags mock</t>
  </si>
  <si>
    <t xml:space="preserve">Create tenant</t>
  </si>
  <si>
    <t xml:space="preserve">Multi-step wizard</t>
  </si>
  <si>
    <t xml:space="preserve">Subscriptions</t>
  </si>
  <si>
    <t xml:space="preserve">Mock subscription data</t>
  </si>
  <si>
    <t xml:space="preserve">Support tickets</t>
  </si>
  <si>
    <t xml:space="preserve">Mock tickets</t>
  </si>
  <si>
    <t xml:space="preserve">Announcements</t>
  </si>
  <si>
    <t xml:space="preserve">Mock announcements</t>
  </si>
  <si>
    <t xml:space="preserve">Reports/analytics</t>
  </si>
  <si>
    <t xml:space="preserve">Mock analytics</t>
  </si>
  <si>
    <t xml:space="preserve">Audit log</t>
  </si>
  <si>
    <t xml:space="preserve">Mock activity log</t>
  </si>
  <si>
    <t xml:space="preserve">System health</t>
  </si>
  <si>
    <t xml:space="preserve">Mock health data</t>
  </si>
  <si>
    <t xml:space="preserve">WordPress management</t>
  </si>
  <si>
    <t xml:space="preserve">Mock WP sites</t>
  </si>
  <si>
    <t xml:space="preserve">Admin login</t>
  </si>
  <si>
    <t xml:space="preserve">Mock auth</t>
  </si>
  <si>
    <t xml:space="preserve">Language switching</t>
  </si>
  <si>
    <t xml:space="preserve">Store exists, not used in pages</t>
  </si>
  <si>
    <t xml:space="preserve">English translations</t>
  </si>
  <si>
    <t xml:space="preserve">Lib</t>
  </si>
  <si>
    <t xml:space="preserve">en.json exists but unused</t>
  </si>
  <si>
    <t xml:space="preserve">Hindi translations</t>
  </si>
  <si>
    <t xml:space="preserve">hi.json may exist but unused</t>
  </si>
  <si>
    <t xml:space="preserve">Date/number localization</t>
  </si>
  <si>
    <t xml:space="preserve">No locale formatting</t>
  </si>
  <si>
    <t xml:space="preserve">KPI cards</t>
  </si>
  <si>
    <t xml:space="preserve">Fetches from multiple APIs</t>
  </si>
  <si>
    <t xml:space="preserve">Revenue chart</t>
  </si>
  <si>
    <t xml:space="preserve">Hardcoded chart data</t>
  </si>
  <si>
    <t xml:space="preserve">Pipeline overview</t>
  </si>
  <si>
    <t xml:space="preserve">Mock pipeline data</t>
  </si>
  <si>
    <t xml:space="preserve">Quick actions</t>
  </si>
  <si>
    <t xml:space="preserve">Navigation buttons work</t>
  </si>
  <si>
    <t xml:space="preserve">Activity feed</t>
  </si>
  <si>
    <t xml:space="preserve">Mock recent activities</t>
  </si>
  <si>
    <t xml:space="preserve">Goal tracking</t>
  </si>
  <si>
    <t xml:space="preserve">Mock target data</t>
  </si>
  <si>
    <t xml:space="preserve">End-to-End Status Distribution</t>
  </si>
  <si>
    <t xml:space="preserve">Status</t>
  </si>
  <si>
    <t xml:space="preserve">Count</t>
  </si>
  <si>
    <t xml:space="preserve">Percentage</t>
  </si>
  <si>
    <t xml:space="preserve">Layer Completeness</t>
  </si>
  <si>
    <t xml:space="preserve">Layer</t>
  </si>
  <si>
    <t xml:space="preserve">Built</t>
  </si>
  <si>
    <t xml:space="preserve">Needed</t>
  </si>
  <si>
    <t xml:space="preserve">Coverage</t>
  </si>
  <si>
    <t xml:space="preserve">Frontend Pages</t>
  </si>
  <si>
    <t xml:space="preserve">69 pages built / 73 needed</t>
  </si>
  <si>
    <t xml:space="preserve">Backend Routes</t>
  </si>
  <si>
    <t xml:space="preserve">51 route files covering all domains</t>
  </si>
  <si>
    <t xml:space="preserve">Database Tables</t>
  </si>
  <si>
    <t xml:space="preserve">80+ tables in tenant schema</t>
  </si>
  <si>
    <t xml:space="preserve">API Client Modules</t>
  </si>
  <si>
    <t xml:space="preserve">27 domain modules + client</t>
  </si>
  <si>
    <t xml:space="preserve">API Wired Pages</t>
  </si>
  <si>
    <t xml:space="preserve">12 pages call real API / 69 total</t>
  </si>
  <si>
    <t xml:space="preserve">Forms with Real Submit</t>
  </si>
  <si>
    <t xml:space="preserve">2 forms call API / 16 form pages</t>
  </si>
  <si>
    <t xml:space="preserve">Super Admin Pages</t>
  </si>
  <si>
    <t xml:space="preserve">14 pages, all frontend-only</t>
  </si>
  <si>
    <t xml:space="preserve">Critical Gaps &amp; Recommended Next Steps</t>
  </si>
  <si>
    <t xml:space="preserve">Gap</t>
  </si>
  <si>
    <t xml:space="preserve">Impact</t>
  </si>
  <si>
    <t xml:space="preserve">Effort (hrs)</t>
  </si>
  <si>
    <t xml:space="preserve">Details</t>
  </si>
  <si>
    <t xml:space="preserve">Auth login not calling real API</t>
  </si>
  <si>
    <t xml:space="preserve">App unusable without auth</t>
  </si>
  <si>
    <t xml:space="preserve">8</t>
  </si>
  <si>
    <t xml:space="preserve">Login page uses hardcoded tokens instead of authApi.login()</t>
  </si>
  <si>
    <t xml:space="preserve">Contact create form not wired</t>
  </si>
  <si>
    <t xml:space="preserve">Cannot add contacts</t>
  </si>
  <si>
    <t xml:space="preserve">4</t>
  </si>
  <si>
    <t xml:space="preserve">contacts/new uses setTimeout, needs contactsApi.create()</t>
  </si>
  <si>
    <t xml:space="preserve">Invoice create form not wired</t>
  </si>
  <si>
    <t xml:space="preserve">Cannot create invoices</t>
  </si>
  <si>
    <t xml:space="preserve">6</t>
  </si>
  <si>
    <t xml:space="preserve">invoices/new uses setTimeout, needs invoicesApi.create()</t>
  </si>
  <si>
    <t xml:space="preserve">Itinerary builder not submitting</t>
  </si>
  <si>
    <t xml:space="preserve">Core feature broken</t>
  </si>
  <si>
    <t xml:space="preserve">itineraries/new has full UI but no API call on submit</t>
  </si>
  <si>
    <t xml:space="preserve">Contact detail uses mock data</t>
  </si>
  <si>
    <t xml:space="preserve">Cannot view real contacts</t>
  </si>
  <si>
    <t xml:space="preserve">contacts/[id] needs contactsApi.getById()</t>
  </si>
  <si>
    <t xml:space="preserve">Fleet module 100% mock</t>
  </si>
  <si>
    <t xml:space="preserve">Fleet management non-functional</t>
  </si>
  <si>
    <t xml:space="preserve">24</t>
  </si>
  <si>
    <t xml:space="preserve">All 13 fleet pages use fleet-mock-data.ts, need API wiring</t>
  </si>
  <si>
    <t xml:space="preserve">Tasks page not wired</t>
  </si>
  <si>
    <t xml:space="preserve">Task management broken</t>
  </si>
  <si>
    <t xml:space="preserve">tasks page uses inline mock data</t>
  </si>
  <si>
    <t xml:space="preserve">Calendar not wired</t>
  </si>
  <si>
    <t xml:space="preserve">Calendar non-functional</t>
  </si>
  <si>
    <t xml:space="preserve">calendar uses mock events, needs eventsApi</t>
  </si>
  <si>
    <t xml:space="preserve">Settings not saving</t>
  </si>
  <si>
    <t xml:space="preserve">Cannot configure CRM</t>
  </si>
  <si>
    <t xml:space="preserve">All settings tabs use setTimeout submit</t>
  </si>
  <si>
    <t xml:space="preserve">Reports use hardcoded data</t>
  </si>
  <si>
    <t xml:space="preserve">Reports show fake numbers</t>
  </si>
  <si>
    <t xml:space="preserve">16</t>
  </si>
  <si>
    <t xml:space="preserve">All 11 report pages need reportsApi.getById()</t>
  </si>
  <si>
    <t xml:space="preserve">Supplier create not wired</t>
  </si>
  <si>
    <t xml:space="preserve">Cannot add suppliers</t>
  </si>
  <si>
    <t xml:space="preserve">suppliers/new uses setTimeout</t>
  </si>
  <si>
    <t xml:space="preserve">Follow-ups have no page</t>
  </si>
  <si>
    <t xml:space="preserve">Missing entire feature</t>
  </si>
  <si>
    <t xml:space="preserve">12</t>
  </si>
  <si>
    <t xml:space="preserve">Need dedicated follow-up list + CRUD</t>
  </si>
  <si>
    <t xml:space="preserve">Voucher create not wired</t>
  </si>
  <si>
    <t xml:space="preserve">Cannot create vouchers</t>
  </si>
  <si>
    <t xml:space="preserve">vouchers/new has form but no API</t>
  </si>
  <si>
    <t xml:space="preserve">Communications all mock</t>
  </si>
  <si>
    <t xml:space="preserve">Messaging non-functional</t>
  </si>
  <si>
    <t xml:space="preserve">Need to wire compose modal to communicationsApi</t>
  </si>
  <si>
    <t xml:space="preserve">Campaigns all mock</t>
  </si>
  <si>
    <t xml:space="preserve">Marketing broken</t>
  </si>
  <si>
    <t xml:space="preserve">Need campaignsApi wiring</t>
  </si>
  <si>
    <t xml:space="preserve">Visa CRUD missing</t>
  </si>
  <si>
    <t xml:space="preserve">Visa tracking broken</t>
  </si>
  <si>
    <t xml:space="preserve">Need visa detail + create pages</t>
  </si>
  <si>
    <t xml:space="preserve">Import wizard not wired</t>
  </si>
  <si>
    <t xml:space="preserve">Cannot import data</t>
  </si>
  <si>
    <t xml:space="preserve">Need importsApi upload + execute</t>
  </si>
  <si>
    <t xml:space="preserve">Super Admin all mock</t>
  </si>
  <si>
    <t xml:space="preserve">Admin panel unusable</t>
  </si>
  <si>
    <t xml:space="preserve">14 pages need master DB API</t>
  </si>
  <si>
    <t xml:space="preserve">AI features all mock</t>
  </si>
  <si>
    <t xml:space="preserve">AI is cosmetic only</t>
  </si>
  <si>
    <t xml:space="preserve">Need to wire to AI backend endpoints</t>
  </si>
  <si>
    <t xml:space="preserve">VoIP not functional</t>
  </si>
  <si>
    <t xml:space="preserve">Calling broken</t>
  </si>
  <si>
    <t xml:space="preserve">Need Twilio integration wiring</t>
  </si>
  <si>
    <t xml:space="preserve">i18n non-functional</t>
  </si>
  <si>
    <t xml:space="preserve">No multi-language</t>
  </si>
  <si>
    <t xml:space="preserve">Translation keys exist but unused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</si>
</sst>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D9D9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8</v>
      </c>
      <c r="C5" s="5" t="n">
        <v>2</v>
      </c>
      <c r="D5" s="5" t="n">
        <v>0</v>
      </c>
      <c r="E5" s="5" t="n">
        <v>4</v>
      </c>
      <c r="F5" s="5" t="n">
        <v>2</v>
      </c>
      <c r="G5" s="6" t="n">
        <f aca="false">IF(B5=0,0,(C5+D5*0.7+E5*0.3)/B5)</f>
        <v>0.4</v>
      </c>
      <c r="H5" s="5" t="s">
        <v>11</v>
      </c>
    </row>
    <row r="6" customFormat="false" ht="15" hidden="false" customHeight="false" outlineLevel="0" collapsed="false">
      <c r="A6" s="4" t="s">
        <v>12</v>
      </c>
      <c r="B6" s="5" t="n">
        <v>14</v>
      </c>
      <c r="C6" s="5" t="n">
        <v>4</v>
      </c>
      <c r="D6" s="5" t="n">
        <v>5</v>
      </c>
      <c r="E6" s="5" t="n">
        <v>3</v>
      </c>
      <c r="F6" s="5" t="n">
        <v>2</v>
      </c>
      <c r="G6" s="6" t="n">
        <f aca="false">IF(B6=0,0,(C6+D6*0.7+E6*0.3)/B6)</f>
        <v>0.6</v>
      </c>
      <c r="H6" s="5" t="s">
        <v>11</v>
      </c>
    </row>
    <row r="7" customFormat="false" ht="15" hidden="false" customHeight="false" outlineLevel="0" collapsed="false">
      <c r="A7" s="4" t="s">
        <v>13</v>
      </c>
      <c r="B7" s="5" t="n">
        <v>16</v>
      </c>
      <c r="C7" s="5" t="n">
        <v>5</v>
      </c>
      <c r="D7" s="5" t="n">
        <v>6</v>
      </c>
      <c r="E7" s="5" t="n">
        <v>3</v>
      </c>
      <c r="F7" s="5" t="n">
        <v>2</v>
      </c>
      <c r="G7" s="6" t="n">
        <f aca="false">IF(B7=0,0,(C7+D7*0.7+E7*0.3)/B7)</f>
        <v>0.63125</v>
      </c>
      <c r="H7" s="5" t="s">
        <v>11</v>
      </c>
    </row>
    <row r="8" customFormat="false" ht="15" hidden="false" customHeight="false" outlineLevel="0" collapsed="false">
      <c r="A8" s="4" t="s">
        <v>14</v>
      </c>
      <c r="B8" s="5" t="n">
        <v>12</v>
      </c>
      <c r="C8" s="5" t="n">
        <v>2</v>
      </c>
      <c r="D8" s="5" t="n">
        <v>4</v>
      </c>
      <c r="E8" s="5" t="n">
        <v>4</v>
      </c>
      <c r="F8" s="5" t="n">
        <v>2</v>
      </c>
      <c r="G8" s="6" t="n">
        <f aca="false">IF(B8=0,0,(C8+D8*0.7+E8*0.3)/B8)</f>
        <v>0.5</v>
      </c>
      <c r="H8" s="5" t="s">
        <v>11</v>
      </c>
    </row>
    <row r="9" customFormat="false" ht="15" hidden="false" customHeight="false" outlineLevel="0" collapsed="false">
      <c r="A9" s="4" t="s">
        <v>15</v>
      </c>
      <c r="B9" s="5" t="n">
        <v>10</v>
      </c>
      <c r="C9" s="5" t="n">
        <v>3</v>
      </c>
      <c r="D9" s="5" t="n">
        <v>4</v>
      </c>
      <c r="E9" s="5" t="n">
        <v>2</v>
      </c>
      <c r="F9" s="5" t="n">
        <v>1</v>
      </c>
      <c r="G9" s="6" t="n">
        <f aca="false">IF(B9=0,0,(C9+D9*0.7+E9*0.3)/B9)</f>
        <v>0.64</v>
      </c>
      <c r="H9" s="5" t="s">
        <v>11</v>
      </c>
    </row>
    <row r="10" customFormat="false" ht="15" hidden="false" customHeight="false" outlineLevel="0" collapsed="false">
      <c r="A10" s="4" t="s">
        <v>16</v>
      </c>
      <c r="B10" s="5" t="n">
        <v>5</v>
      </c>
      <c r="C10" s="5" t="n">
        <v>2</v>
      </c>
      <c r="D10" s="5" t="n">
        <v>2</v>
      </c>
      <c r="E10" s="5" t="n">
        <v>1</v>
      </c>
      <c r="F10" s="5" t="n">
        <v>0</v>
      </c>
      <c r="G10" s="6" t="n">
        <f aca="false">IF(B10=0,0,(C10+D10*0.7+E10*0.3)/B10)</f>
        <v>0.74</v>
      </c>
      <c r="H10" s="5" t="s">
        <v>11</v>
      </c>
    </row>
    <row r="11" customFormat="false" ht="15" hidden="false" customHeight="false" outlineLevel="0" collapsed="false">
      <c r="A11" s="4" t="s">
        <v>17</v>
      </c>
      <c r="B11" s="5" t="n">
        <v>10</v>
      </c>
      <c r="C11" s="5" t="n">
        <v>2</v>
      </c>
      <c r="D11" s="5" t="n">
        <v>3</v>
      </c>
      <c r="E11" s="5" t="n">
        <v>3</v>
      </c>
      <c r="F11" s="5" t="n">
        <v>2</v>
      </c>
      <c r="G11" s="6" t="n">
        <f aca="false">IF(B11=0,0,(C11+D11*0.7+E11*0.3)/B11)</f>
        <v>0.5</v>
      </c>
      <c r="H11" s="5" t="s">
        <v>18</v>
      </c>
    </row>
    <row r="12" customFormat="false" ht="15" hidden="false" customHeight="false" outlineLevel="0" collapsed="false">
      <c r="A12" s="4" t="s">
        <v>19</v>
      </c>
      <c r="B12" s="5" t="n">
        <v>18</v>
      </c>
      <c r="C12" s="5" t="n">
        <v>0</v>
      </c>
      <c r="D12" s="5" t="n">
        <v>0</v>
      </c>
      <c r="E12" s="5" t="n">
        <v>16</v>
      </c>
      <c r="F12" s="5" t="n">
        <v>2</v>
      </c>
      <c r="G12" s="6" t="n">
        <f aca="false">IF(B12=0,0,(C12+D12*0.7+E12*0.3)/B12)</f>
        <v>0.266666666666667</v>
      </c>
      <c r="H12" s="5" t="s">
        <v>18</v>
      </c>
    </row>
    <row r="13" customFormat="false" ht="15" hidden="false" customHeight="false" outlineLevel="0" collapsed="false">
      <c r="A13" s="4" t="s">
        <v>20</v>
      </c>
      <c r="B13" s="5" t="n">
        <v>10</v>
      </c>
      <c r="C13" s="5" t="n">
        <v>1</v>
      </c>
      <c r="D13" s="5" t="n">
        <v>1</v>
      </c>
      <c r="E13" s="5" t="n">
        <v>6</v>
      </c>
      <c r="F13" s="5" t="n">
        <v>2</v>
      </c>
      <c r="G13" s="6" t="n">
        <f aca="false">IF(B13=0,0,(C13+D13*0.7+E13*0.3)/B13)</f>
        <v>0.35</v>
      </c>
      <c r="H13" s="5" t="s">
        <v>18</v>
      </c>
    </row>
    <row r="14" customFormat="false" ht="15" hidden="false" customHeight="false" outlineLevel="0" collapsed="false">
      <c r="A14" s="4" t="s">
        <v>21</v>
      </c>
      <c r="B14" s="5" t="n">
        <v>8</v>
      </c>
      <c r="C14" s="5" t="n">
        <v>0</v>
      </c>
      <c r="D14" s="5" t="n">
        <v>0</v>
      </c>
      <c r="E14" s="5" t="n">
        <v>5</v>
      </c>
      <c r="F14" s="5" t="n">
        <v>3</v>
      </c>
      <c r="G14" s="6" t="n">
        <f aca="false">IF(B14=0,0,(C14+D14*0.7+E14*0.3)/B14)</f>
        <v>0.1875</v>
      </c>
      <c r="H14" s="5" t="s">
        <v>18</v>
      </c>
    </row>
    <row r="15" customFormat="false" ht="15" hidden="false" customHeight="false" outlineLevel="0" collapsed="false">
      <c r="A15" s="4" t="s">
        <v>22</v>
      </c>
      <c r="B15" s="5" t="n">
        <v>5</v>
      </c>
      <c r="C15" s="5" t="n">
        <v>0</v>
      </c>
      <c r="D15" s="5" t="n">
        <v>0</v>
      </c>
      <c r="E15" s="5" t="n">
        <v>2</v>
      </c>
      <c r="F15" s="5" t="n">
        <v>3</v>
      </c>
      <c r="G15" s="6" t="n">
        <f aca="false">IF(B15=0,0,(C15+D15*0.7+E15*0.3)/B15)</f>
        <v>0.12</v>
      </c>
      <c r="H15" s="5" t="s">
        <v>18</v>
      </c>
    </row>
    <row r="16" customFormat="false" ht="15" hidden="false" customHeight="false" outlineLevel="0" collapsed="false">
      <c r="A16" s="4" t="s">
        <v>23</v>
      </c>
      <c r="B16" s="5" t="n">
        <v>5</v>
      </c>
      <c r="C16" s="5" t="n">
        <v>1</v>
      </c>
      <c r="D16" s="5" t="n">
        <v>2</v>
      </c>
      <c r="E16" s="5" t="n">
        <v>1</v>
      </c>
      <c r="F16" s="5" t="n">
        <v>1</v>
      </c>
      <c r="G16" s="6" t="n">
        <f aca="false">IF(B16=0,0,(C16+D16*0.7+E16*0.3)/B16)</f>
        <v>0.54</v>
      </c>
      <c r="H16" s="5" t="s">
        <v>18</v>
      </c>
    </row>
    <row r="17" customFormat="false" ht="15" hidden="false" customHeight="false" outlineLevel="0" collapsed="false">
      <c r="A17" s="4" t="s">
        <v>24</v>
      </c>
      <c r="B17" s="5" t="n">
        <v>8</v>
      </c>
      <c r="C17" s="5" t="n">
        <v>1</v>
      </c>
      <c r="D17" s="5" t="n">
        <v>3</v>
      </c>
      <c r="E17" s="5" t="n">
        <v>3</v>
      </c>
      <c r="F17" s="5" t="n">
        <v>1</v>
      </c>
      <c r="G17" s="6" t="n">
        <f aca="false">IF(B17=0,0,(C17+D17*0.7+E17*0.3)/B17)</f>
        <v>0.5</v>
      </c>
      <c r="H17" s="5" t="s">
        <v>18</v>
      </c>
    </row>
    <row r="18" customFormat="false" ht="15" hidden="false" customHeight="false" outlineLevel="0" collapsed="false">
      <c r="A18" s="4" t="s">
        <v>25</v>
      </c>
      <c r="B18" s="5" t="n">
        <v>8</v>
      </c>
      <c r="C18" s="5" t="n">
        <v>0</v>
      </c>
      <c r="D18" s="5" t="n">
        <v>0</v>
      </c>
      <c r="E18" s="5" t="n">
        <v>4</v>
      </c>
      <c r="F18" s="5" t="n">
        <v>4</v>
      </c>
      <c r="G18" s="6" t="n">
        <f aca="false">IF(B18=0,0,(C18+D18*0.7+E18*0.3)/B18)</f>
        <v>0.15</v>
      </c>
      <c r="H18" s="5" t="s">
        <v>26</v>
      </c>
    </row>
    <row r="19" customFormat="false" ht="15" hidden="false" customHeight="false" outlineLevel="0" collapsed="false">
      <c r="A19" s="4" t="s">
        <v>27</v>
      </c>
      <c r="B19" s="5" t="n">
        <v>8</v>
      </c>
      <c r="C19" s="5" t="n">
        <v>0</v>
      </c>
      <c r="D19" s="5" t="n">
        <v>0</v>
      </c>
      <c r="E19" s="5" t="n">
        <v>4</v>
      </c>
      <c r="F19" s="5" t="n">
        <v>4</v>
      </c>
      <c r="G19" s="6" t="n">
        <f aca="false">IF(B19=0,0,(C19+D19*0.7+E19*0.3)/B19)</f>
        <v>0.15</v>
      </c>
      <c r="H19" s="5" t="s">
        <v>18</v>
      </c>
    </row>
    <row r="20" customFormat="false" ht="15" hidden="false" customHeight="false" outlineLevel="0" collapsed="false">
      <c r="A20" s="4" t="s">
        <v>28</v>
      </c>
      <c r="B20" s="5" t="n">
        <v>8</v>
      </c>
      <c r="C20" s="5" t="n">
        <v>0</v>
      </c>
      <c r="D20" s="5" t="n">
        <v>0</v>
      </c>
      <c r="E20" s="5" t="n">
        <v>4</v>
      </c>
      <c r="F20" s="5" t="n">
        <v>4</v>
      </c>
      <c r="G20" s="6" t="n">
        <f aca="false">IF(B20=0,0,(C20+D20*0.7+E20*0.3)/B20)</f>
        <v>0.15</v>
      </c>
      <c r="H20" s="5" t="s">
        <v>26</v>
      </c>
    </row>
    <row r="21" customFormat="false" ht="15" hidden="false" customHeight="false" outlineLevel="0" collapsed="false">
      <c r="A21" s="4" t="s">
        <v>29</v>
      </c>
      <c r="B21" s="5" t="n">
        <v>10</v>
      </c>
      <c r="C21" s="5" t="n">
        <v>0</v>
      </c>
      <c r="D21" s="5" t="n">
        <v>0</v>
      </c>
      <c r="E21" s="5" t="n">
        <v>5</v>
      </c>
      <c r="F21" s="5" t="n">
        <v>5</v>
      </c>
      <c r="G21" s="6" t="n">
        <f aca="false">IF(B21=0,0,(C21+D21*0.7+E21*0.3)/B21)</f>
        <v>0.15</v>
      </c>
      <c r="H21" s="5" t="s">
        <v>26</v>
      </c>
    </row>
    <row r="22" customFormat="false" ht="15" hidden="false" customHeight="false" outlineLevel="0" collapsed="false">
      <c r="A22" s="4" t="s">
        <v>30</v>
      </c>
      <c r="B22" s="5" t="n">
        <v>6</v>
      </c>
      <c r="C22" s="5" t="n">
        <v>2</v>
      </c>
      <c r="D22" s="5" t="n">
        <v>3</v>
      </c>
      <c r="E22" s="5" t="n">
        <v>1</v>
      </c>
      <c r="F22" s="5" t="n">
        <v>0</v>
      </c>
      <c r="G22" s="6" t="n">
        <f aca="false">IF(B22=0,0,(C22+D22*0.7+E22*0.3)/B22)</f>
        <v>0.733333333333333</v>
      </c>
      <c r="H22" s="5" t="s">
        <v>18</v>
      </c>
    </row>
    <row r="23" customFormat="false" ht="15" hidden="false" customHeight="false" outlineLevel="0" collapsed="false">
      <c r="A23" s="4" t="s">
        <v>31</v>
      </c>
      <c r="B23" s="5" t="n">
        <v>12</v>
      </c>
      <c r="C23" s="5" t="n">
        <v>0</v>
      </c>
      <c r="D23" s="5" t="n">
        <v>0</v>
      </c>
      <c r="E23" s="5" t="n">
        <v>11</v>
      </c>
      <c r="F23" s="5" t="n">
        <v>1</v>
      </c>
      <c r="G23" s="6" t="n">
        <f aca="false">IF(B23=0,0,(C23+D23*0.7+E23*0.3)/B23)</f>
        <v>0.275</v>
      </c>
      <c r="H23" s="5" t="s">
        <v>26</v>
      </c>
    </row>
    <row r="24" customFormat="false" ht="15" hidden="false" customHeight="false" outlineLevel="0" collapsed="false">
      <c r="A24" s="4" t="s">
        <v>32</v>
      </c>
      <c r="B24" s="5" t="n">
        <v>8</v>
      </c>
      <c r="C24" s="5" t="n">
        <v>0</v>
      </c>
      <c r="D24" s="5" t="n">
        <v>0</v>
      </c>
      <c r="E24" s="5" t="n">
        <v>4</v>
      </c>
      <c r="F24" s="5" t="n">
        <v>4</v>
      </c>
      <c r="G24" s="6" t="n">
        <f aca="false">IF(B24=0,0,(C24+D24*0.7+E24*0.3)/B24)</f>
        <v>0.15</v>
      </c>
      <c r="H24" s="5" t="s">
        <v>18</v>
      </c>
    </row>
    <row r="25" customFormat="false" ht="15" hidden="false" customHeight="false" outlineLevel="0" collapsed="false">
      <c r="A25" s="4" t="s">
        <v>33</v>
      </c>
      <c r="B25" s="5" t="n">
        <v>6</v>
      </c>
      <c r="C25" s="5" t="n">
        <v>0</v>
      </c>
      <c r="D25" s="5" t="n">
        <v>0</v>
      </c>
      <c r="E25" s="5" t="n">
        <v>3</v>
      </c>
      <c r="F25" s="5" t="n">
        <v>3</v>
      </c>
      <c r="G25" s="6" t="n">
        <f aca="false">IF(B25=0,0,(C25+D25*0.7+E25*0.3)/B25)</f>
        <v>0.15</v>
      </c>
      <c r="H25" s="5" t="s">
        <v>18</v>
      </c>
    </row>
    <row r="26" customFormat="false" ht="15" hidden="false" customHeight="false" outlineLevel="0" collapsed="false">
      <c r="A26" s="4" t="s">
        <v>34</v>
      </c>
      <c r="B26" s="5" t="n">
        <v>14</v>
      </c>
      <c r="C26" s="5" t="n">
        <v>0</v>
      </c>
      <c r="D26" s="5" t="n">
        <v>0</v>
      </c>
      <c r="E26" s="5" t="n">
        <v>6</v>
      </c>
      <c r="F26" s="5" t="n">
        <v>8</v>
      </c>
      <c r="G26" s="6" t="n">
        <f aca="false">IF(B26=0,0,(C26+D26*0.7+E26*0.3)/B26)</f>
        <v>0.128571428571429</v>
      </c>
      <c r="H26" s="5" t="s">
        <v>35</v>
      </c>
    </row>
    <row r="27" customFormat="false" ht="15" hidden="false" customHeight="false" outlineLevel="0" collapsed="false">
      <c r="A27" s="4" t="s">
        <v>36</v>
      </c>
      <c r="B27" s="5" t="n">
        <v>8</v>
      </c>
      <c r="C27" s="5" t="n">
        <v>0</v>
      </c>
      <c r="D27" s="5" t="n">
        <v>0</v>
      </c>
      <c r="E27" s="5" t="n">
        <v>2</v>
      </c>
      <c r="F27" s="5" t="n">
        <v>6</v>
      </c>
      <c r="G27" s="6" t="n">
        <f aca="false">IF(B27=0,0,(C27+D27*0.7+E27*0.3)/B27)</f>
        <v>0.075</v>
      </c>
      <c r="H27" s="5" t="s">
        <v>35</v>
      </c>
    </row>
    <row r="28" customFormat="false" ht="15" hidden="false" customHeight="false" outlineLevel="0" collapsed="false">
      <c r="A28" s="4" t="s">
        <v>37</v>
      </c>
      <c r="B28" s="5" t="n">
        <v>6</v>
      </c>
      <c r="C28" s="5" t="n">
        <v>0</v>
      </c>
      <c r="D28" s="5" t="n">
        <v>0</v>
      </c>
      <c r="E28" s="5" t="n">
        <v>2</v>
      </c>
      <c r="F28" s="5" t="n">
        <v>4</v>
      </c>
      <c r="G28" s="6" t="n">
        <f aca="false">IF(B28=0,0,(C28+D28*0.7+E28*0.3)/B28)</f>
        <v>0.1</v>
      </c>
      <c r="H28" s="5" t="s">
        <v>35</v>
      </c>
    </row>
    <row r="29" customFormat="false" ht="15" hidden="false" customHeight="false" outlineLevel="0" collapsed="false">
      <c r="A29" s="4" t="s">
        <v>38</v>
      </c>
      <c r="B29" s="5" t="n">
        <v>4</v>
      </c>
      <c r="C29" s="5" t="n">
        <v>1</v>
      </c>
      <c r="D29" s="5" t="n">
        <v>2</v>
      </c>
      <c r="E29" s="5" t="n">
        <v>1</v>
      </c>
      <c r="F29" s="5" t="n">
        <v>0</v>
      </c>
      <c r="G29" s="6" t="n">
        <f aca="false">IF(B29=0,0,(C29+D29*0.7+E29*0.3)/B29)</f>
        <v>0.675</v>
      </c>
      <c r="H29" s="5" t="s">
        <v>26</v>
      </c>
    </row>
    <row r="30" customFormat="false" ht="15" hidden="false" customHeight="false" outlineLevel="0" collapsed="false">
      <c r="A30" s="4" t="s">
        <v>39</v>
      </c>
      <c r="B30" s="5" t="n">
        <v>12</v>
      </c>
      <c r="C30" s="5" t="n">
        <v>0</v>
      </c>
      <c r="D30" s="5" t="n">
        <v>0</v>
      </c>
      <c r="E30" s="5" t="n">
        <v>12</v>
      </c>
      <c r="F30" s="5" t="n">
        <v>0</v>
      </c>
      <c r="G30" s="6" t="n">
        <f aca="false">IF(B30=0,0,(C30+D30*0.7+E30*0.3)/B30)</f>
        <v>0.3</v>
      </c>
      <c r="H30" s="5" t="s">
        <v>18</v>
      </c>
    </row>
    <row r="31" customFormat="false" ht="15" hidden="false" customHeight="false" outlineLevel="0" collapsed="false">
      <c r="A31" s="4" t="s">
        <v>40</v>
      </c>
      <c r="B31" s="5" t="n">
        <v>4</v>
      </c>
      <c r="C31" s="5" t="n">
        <v>0</v>
      </c>
      <c r="D31" s="5" t="n">
        <v>0</v>
      </c>
      <c r="E31" s="5" t="n">
        <v>1</v>
      </c>
      <c r="F31" s="5" t="n">
        <v>3</v>
      </c>
      <c r="G31" s="6" t="n">
        <f aca="false">IF(B31=0,0,(C31+D31*0.7+E31*0.3)/B31)</f>
        <v>0.075</v>
      </c>
      <c r="H31" s="5" t="s">
        <v>35</v>
      </c>
    </row>
    <row r="32" customFormat="false" ht="15" hidden="false" customHeight="false" outlineLevel="0" collapsed="false">
      <c r="A32" s="4" t="s">
        <v>41</v>
      </c>
      <c r="B32" s="5" t="n">
        <v>6</v>
      </c>
      <c r="C32" s="5" t="n">
        <v>1</v>
      </c>
      <c r="D32" s="5" t="n">
        <v>2</v>
      </c>
      <c r="E32" s="5" t="n">
        <v>2</v>
      </c>
      <c r="F32" s="5" t="n">
        <v>1</v>
      </c>
      <c r="G32" s="6" t="n">
        <f aca="false">IF(B32=0,0,(C32+D32*0.7+E32*0.3)/B32)</f>
        <v>0.5</v>
      </c>
      <c r="H32" s="5" t="s">
        <v>11</v>
      </c>
    </row>
    <row r="33" customFormat="false" ht="15" hidden="false" customHeight="false" outlineLevel="0" collapsed="false">
      <c r="A33" s="7" t="s">
        <v>42</v>
      </c>
      <c r="B33" s="8" t="n">
        <f aca="false">SUM(B5:B32)</f>
        <v>249</v>
      </c>
      <c r="C33" s="8" t="n">
        <f aca="false">SUM(C5:C32)</f>
        <v>27</v>
      </c>
      <c r="D33" s="8" t="n">
        <f aca="false">SUM(D5:D32)</f>
        <v>37</v>
      </c>
      <c r="E33" s="8" t="n">
        <f aca="false">SUM(E5:E32)</f>
        <v>115</v>
      </c>
      <c r="F33" s="8" t="n">
        <f aca="false">SUM(F5:F32)</f>
        <v>70</v>
      </c>
      <c r="G33" s="9" t="n">
        <f aca="false">IF(B33=0,0,(C33+D33*0.7+E33*0.3)/B33)</f>
        <v>0.351004016064257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3" t="s">
        <v>2</v>
      </c>
      <c r="B1" s="3" t="s">
        <v>43</v>
      </c>
      <c r="C1" s="3" t="s">
        <v>44</v>
      </c>
      <c r="D1" s="3" t="s">
        <v>5</v>
      </c>
      <c r="E1" s="3" t="s">
        <v>45</v>
      </c>
      <c r="F1" s="3" t="s">
        <v>46</v>
      </c>
      <c r="G1" s="3" t="s">
        <v>47</v>
      </c>
      <c r="H1" s="3" t="s">
        <v>48</v>
      </c>
    </row>
    <row r="2" customFormat="false" ht="15" hidden="false" customHeight="false" outlineLevel="0" collapsed="false">
      <c r="A2" s="5" t="s">
        <v>10</v>
      </c>
      <c r="B2" s="5" t="s">
        <v>49</v>
      </c>
      <c r="C2" s="5" t="s">
        <v>50</v>
      </c>
      <c r="D2" s="5" t="s">
        <v>51</v>
      </c>
      <c r="E2" s="5" t="s">
        <v>52</v>
      </c>
      <c r="F2" s="5" t="s">
        <v>52</v>
      </c>
      <c r="G2" s="10" t="s">
        <v>6</v>
      </c>
      <c r="H2" s="5" t="s">
        <v>53</v>
      </c>
    </row>
    <row r="3" customFormat="false" ht="15" hidden="false" customHeight="false" outlineLevel="0" collapsed="false">
      <c r="A3" s="5" t="s">
        <v>10</v>
      </c>
      <c r="B3" s="5" t="s">
        <v>54</v>
      </c>
      <c r="C3" s="5" t="s">
        <v>50</v>
      </c>
      <c r="D3" s="5" t="s">
        <v>51</v>
      </c>
      <c r="E3" s="5" t="s">
        <v>52</v>
      </c>
      <c r="F3" s="5" t="s">
        <v>52</v>
      </c>
      <c r="G3" s="10" t="s">
        <v>6</v>
      </c>
      <c r="H3" s="5" t="s">
        <v>55</v>
      </c>
    </row>
    <row r="4" customFormat="false" ht="15" hidden="false" customHeight="false" outlineLevel="0" collapsed="false">
      <c r="A4" s="5" t="s">
        <v>10</v>
      </c>
      <c r="B4" s="5" t="s">
        <v>56</v>
      </c>
      <c r="C4" s="5" t="s">
        <v>57</v>
      </c>
      <c r="D4" s="5" t="s">
        <v>51</v>
      </c>
      <c r="E4" s="5" t="s">
        <v>52</v>
      </c>
      <c r="F4" s="5" t="s">
        <v>52</v>
      </c>
      <c r="G4" s="10" t="s">
        <v>6</v>
      </c>
      <c r="H4" s="5" t="s">
        <v>58</v>
      </c>
    </row>
    <row r="5" customFormat="false" ht="15" hidden="false" customHeight="false" outlineLevel="0" collapsed="false">
      <c r="A5" s="5" t="s">
        <v>10</v>
      </c>
      <c r="B5" s="5" t="s">
        <v>59</v>
      </c>
      <c r="C5" s="5" t="s">
        <v>60</v>
      </c>
      <c r="D5" s="5" t="s">
        <v>51</v>
      </c>
      <c r="E5" s="5" t="s">
        <v>52</v>
      </c>
      <c r="F5" s="5" t="s">
        <v>52</v>
      </c>
      <c r="G5" s="10" t="s">
        <v>6</v>
      </c>
      <c r="H5" s="5" t="s">
        <v>58</v>
      </c>
    </row>
    <row r="6" customFormat="false" ht="15" hidden="false" customHeight="false" outlineLevel="0" collapsed="false">
      <c r="A6" s="5" t="s">
        <v>10</v>
      </c>
      <c r="B6" s="5" t="s">
        <v>61</v>
      </c>
      <c r="C6" s="5" t="s">
        <v>7</v>
      </c>
      <c r="D6" s="5" t="s">
        <v>51</v>
      </c>
      <c r="E6" s="5" t="s">
        <v>52</v>
      </c>
      <c r="F6" s="5" t="s">
        <v>52</v>
      </c>
      <c r="G6" s="11" t="s">
        <v>7</v>
      </c>
      <c r="H6" s="5" t="s">
        <v>62</v>
      </c>
    </row>
    <row r="7" customFormat="false" ht="15" hidden="false" customHeight="false" outlineLevel="0" collapsed="false">
      <c r="A7" s="5" t="s">
        <v>10</v>
      </c>
      <c r="B7" s="5" t="s">
        <v>63</v>
      </c>
      <c r="C7" s="5" t="s">
        <v>7</v>
      </c>
      <c r="D7" s="5" t="s">
        <v>51</v>
      </c>
      <c r="E7" s="5" t="s">
        <v>52</v>
      </c>
      <c r="F7" s="5" t="s">
        <v>52</v>
      </c>
      <c r="G7" s="11" t="s">
        <v>7</v>
      </c>
      <c r="H7" s="5" t="s">
        <v>64</v>
      </c>
    </row>
    <row r="8" customFormat="false" ht="15" hidden="false" customHeight="false" outlineLevel="0" collapsed="false">
      <c r="A8" s="5" t="s">
        <v>10</v>
      </c>
      <c r="B8" s="5" t="s">
        <v>65</v>
      </c>
      <c r="C8" s="5" t="s">
        <v>66</v>
      </c>
      <c r="D8" s="5" t="s">
        <v>52</v>
      </c>
      <c r="E8" s="5" t="s">
        <v>52</v>
      </c>
      <c r="F8" s="5" t="s">
        <v>52</v>
      </c>
      <c r="G8" s="12" t="s">
        <v>4</v>
      </c>
      <c r="H8" s="5" t="s">
        <v>67</v>
      </c>
    </row>
    <row r="9" customFormat="false" ht="15" hidden="false" customHeight="false" outlineLevel="0" collapsed="false">
      <c r="A9" s="5" t="s">
        <v>10</v>
      </c>
      <c r="B9" s="5" t="s">
        <v>68</v>
      </c>
      <c r="C9" s="5" t="s">
        <v>50</v>
      </c>
      <c r="D9" s="5" t="s">
        <v>52</v>
      </c>
      <c r="E9" s="5" t="s">
        <v>52</v>
      </c>
      <c r="F9" s="5" t="s">
        <v>52</v>
      </c>
      <c r="G9" s="12" t="s">
        <v>4</v>
      </c>
      <c r="H9" s="5" t="s">
        <v>69</v>
      </c>
    </row>
    <row r="10" customFormat="false" ht="15" hidden="false" customHeight="false" outlineLevel="0" collapsed="false">
      <c r="A10" s="5" t="s">
        <v>12</v>
      </c>
      <c r="B10" s="5" t="s">
        <v>70</v>
      </c>
      <c r="C10" s="5" t="s">
        <v>71</v>
      </c>
      <c r="D10" s="5" t="s">
        <v>52</v>
      </c>
      <c r="E10" s="5" t="s">
        <v>52</v>
      </c>
      <c r="F10" s="5" t="s">
        <v>52</v>
      </c>
      <c r="G10" s="13" t="s">
        <v>5</v>
      </c>
      <c r="H10" s="5" t="s">
        <v>72</v>
      </c>
    </row>
    <row r="11" customFormat="false" ht="15" hidden="false" customHeight="false" outlineLevel="0" collapsed="false">
      <c r="A11" s="5" t="s">
        <v>12</v>
      </c>
      <c r="B11" s="5" t="s">
        <v>73</v>
      </c>
      <c r="C11" s="5" t="s">
        <v>71</v>
      </c>
      <c r="D11" s="5" t="s">
        <v>52</v>
      </c>
      <c r="E11" s="5" t="s">
        <v>52</v>
      </c>
      <c r="F11" s="5" t="s">
        <v>52</v>
      </c>
      <c r="G11" s="13" t="s">
        <v>5</v>
      </c>
      <c r="H11" s="5" t="s">
        <v>74</v>
      </c>
    </row>
    <row r="12" customFormat="false" ht="15" hidden="false" customHeight="false" outlineLevel="0" collapsed="false">
      <c r="A12" s="5" t="s">
        <v>12</v>
      </c>
      <c r="B12" s="5" t="s">
        <v>75</v>
      </c>
      <c r="C12" s="5" t="s">
        <v>71</v>
      </c>
      <c r="D12" s="5" t="s">
        <v>52</v>
      </c>
      <c r="E12" s="5" t="s">
        <v>52</v>
      </c>
      <c r="F12" s="5" t="s">
        <v>52</v>
      </c>
      <c r="G12" s="13" t="s">
        <v>5</v>
      </c>
      <c r="H12" s="5" t="s">
        <v>76</v>
      </c>
    </row>
    <row r="13" customFormat="false" ht="15" hidden="false" customHeight="false" outlineLevel="0" collapsed="false">
      <c r="A13" s="5" t="s">
        <v>12</v>
      </c>
      <c r="B13" s="5" t="s">
        <v>77</v>
      </c>
      <c r="C13" s="5" t="s">
        <v>78</v>
      </c>
      <c r="D13" s="5" t="s">
        <v>51</v>
      </c>
      <c r="E13" s="5" t="s">
        <v>52</v>
      </c>
      <c r="F13" s="5" t="s">
        <v>52</v>
      </c>
      <c r="G13" s="10" t="s">
        <v>6</v>
      </c>
      <c r="H13" s="5" t="s">
        <v>79</v>
      </c>
    </row>
    <row r="14" customFormat="false" ht="15" hidden="false" customHeight="false" outlineLevel="0" collapsed="false">
      <c r="A14" s="5" t="s">
        <v>12</v>
      </c>
      <c r="B14" s="5" t="s">
        <v>80</v>
      </c>
      <c r="C14" s="5" t="s">
        <v>81</v>
      </c>
      <c r="D14" s="5" t="s">
        <v>51</v>
      </c>
      <c r="E14" s="5" t="s">
        <v>52</v>
      </c>
      <c r="F14" s="5" t="s">
        <v>52</v>
      </c>
      <c r="G14" s="10" t="s">
        <v>6</v>
      </c>
      <c r="H14" s="5" t="s">
        <v>82</v>
      </c>
    </row>
    <row r="15" customFormat="false" ht="15" hidden="false" customHeight="false" outlineLevel="0" collapsed="false">
      <c r="A15" s="5" t="s">
        <v>12</v>
      </c>
      <c r="B15" s="5" t="s">
        <v>83</v>
      </c>
      <c r="C15" s="5" t="s">
        <v>81</v>
      </c>
      <c r="D15" s="5" t="s">
        <v>51</v>
      </c>
      <c r="E15" s="5" t="s">
        <v>52</v>
      </c>
      <c r="F15" s="5" t="s">
        <v>52</v>
      </c>
      <c r="G15" s="10" t="s">
        <v>6</v>
      </c>
      <c r="H15" s="5" t="s">
        <v>84</v>
      </c>
    </row>
    <row r="16" customFormat="false" ht="15" hidden="false" customHeight="false" outlineLevel="0" collapsed="false">
      <c r="A16" s="5" t="s">
        <v>12</v>
      </c>
      <c r="B16" s="5" t="s">
        <v>85</v>
      </c>
      <c r="C16" s="5" t="s">
        <v>81</v>
      </c>
      <c r="D16" s="5" t="s">
        <v>51</v>
      </c>
      <c r="E16" s="5" t="s">
        <v>52</v>
      </c>
      <c r="F16" s="5" t="s">
        <v>52</v>
      </c>
      <c r="G16" s="10" t="s">
        <v>6</v>
      </c>
      <c r="H16" s="5" t="s">
        <v>86</v>
      </c>
    </row>
    <row r="17" customFormat="false" ht="15" hidden="false" customHeight="false" outlineLevel="0" collapsed="false">
      <c r="A17" s="5" t="s">
        <v>12</v>
      </c>
      <c r="B17" s="5" t="s">
        <v>87</v>
      </c>
      <c r="C17" s="5" t="s">
        <v>71</v>
      </c>
      <c r="D17" s="5" t="s">
        <v>52</v>
      </c>
      <c r="E17" s="5" t="s">
        <v>52</v>
      </c>
      <c r="F17" s="5" t="s">
        <v>52</v>
      </c>
      <c r="G17" s="13" t="s">
        <v>5</v>
      </c>
      <c r="H17" s="5" t="s">
        <v>88</v>
      </c>
    </row>
    <row r="18" customFormat="false" ht="15" hidden="false" customHeight="false" outlineLevel="0" collapsed="false">
      <c r="A18" s="5" t="s">
        <v>12</v>
      </c>
      <c r="B18" s="5" t="s">
        <v>89</v>
      </c>
      <c r="C18" s="5" t="s">
        <v>7</v>
      </c>
      <c r="D18" s="5" t="s">
        <v>51</v>
      </c>
      <c r="E18" s="5" t="s">
        <v>52</v>
      </c>
      <c r="F18" s="5" t="s">
        <v>52</v>
      </c>
      <c r="G18" s="11" t="s">
        <v>7</v>
      </c>
      <c r="H18" s="5" t="s">
        <v>90</v>
      </c>
    </row>
    <row r="19" customFormat="false" ht="15" hidden="false" customHeight="false" outlineLevel="0" collapsed="false">
      <c r="A19" s="5" t="s">
        <v>12</v>
      </c>
      <c r="B19" s="5" t="s">
        <v>91</v>
      </c>
      <c r="C19" s="5" t="s">
        <v>92</v>
      </c>
      <c r="D19" s="5" t="s">
        <v>51</v>
      </c>
      <c r="E19" s="5" t="s">
        <v>52</v>
      </c>
      <c r="F19" s="5" t="s">
        <v>52</v>
      </c>
      <c r="G19" s="10" t="s">
        <v>6</v>
      </c>
      <c r="H19" s="5" t="s">
        <v>93</v>
      </c>
    </row>
    <row r="20" customFormat="false" ht="15" hidden="false" customHeight="false" outlineLevel="0" collapsed="false">
      <c r="A20" s="5" t="s">
        <v>12</v>
      </c>
      <c r="B20" s="5" t="s">
        <v>94</v>
      </c>
      <c r="C20" s="5" t="s">
        <v>71</v>
      </c>
      <c r="D20" s="5" t="s">
        <v>52</v>
      </c>
      <c r="E20" s="5" t="s">
        <v>52</v>
      </c>
      <c r="F20" s="5" t="s">
        <v>52</v>
      </c>
      <c r="G20" s="13" t="s">
        <v>5</v>
      </c>
      <c r="H20" s="5" t="s">
        <v>95</v>
      </c>
    </row>
    <row r="21" customFormat="false" ht="15" hidden="false" customHeight="false" outlineLevel="0" collapsed="false">
      <c r="A21" s="5" t="s">
        <v>12</v>
      </c>
      <c r="B21" s="5" t="s">
        <v>96</v>
      </c>
      <c r="C21" s="5" t="s">
        <v>71</v>
      </c>
      <c r="D21" s="5" t="s">
        <v>51</v>
      </c>
      <c r="E21" s="5" t="s">
        <v>52</v>
      </c>
      <c r="F21" s="5" t="s">
        <v>52</v>
      </c>
      <c r="G21" s="10" t="s">
        <v>6</v>
      </c>
      <c r="H21" s="5" t="s">
        <v>97</v>
      </c>
    </row>
    <row r="22" customFormat="false" ht="15" hidden="false" customHeight="false" outlineLevel="0" collapsed="false">
      <c r="A22" s="5" t="s">
        <v>12</v>
      </c>
      <c r="B22" s="5" t="s">
        <v>98</v>
      </c>
      <c r="C22" s="5" t="s">
        <v>7</v>
      </c>
      <c r="D22" s="5" t="s">
        <v>51</v>
      </c>
      <c r="E22" s="5" t="s">
        <v>52</v>
      </c>
      <c r="F22" s="5" t="s">
        <v>52</v>
      </c>
      <c r="G22" s="11" t="s">
        <v>7</v>
      </c>
      <c r="H22" s="5" t="s">
        <v>99</v>
      </c>
    </row>
    <row r="23" customFormat="false" ht="15" hidden="false" customHeight="false" outlineLevel="0" collapsed="false">
      <c r="A23" s="5" t="s">
        <v>12</v>
      </c>
      <c r="B23" s="5" t="s">
        <v>100</v>
      </c>
      <c r="C23" s="5" t="s">
        <v>81</v>
      </c>
      <c r="D23" s="5" t="s">
        <v>51</v>
      </c>
      <c r="E23" s="5" t="s">
        <v>52</v>
      </c>
      <c r="F23" s="5" t="s">
        <v>52</v>
      </c>
      <c r="G23" s="10" t="s">
        <v>6</v>
      </c>
      <c r="H23" s="5" t="s">
        <v>101</v>
      </c>
    </row>
    <row r="24" customFormat="false" ht="15" hidden="false" customHeight="false" outlineLevel="0" collapsed="false">
      <c r="A24" s="5" t="s">
        <v>12</v>
      </c>
      <c r="B24" s="5" t="s">
        <v>102</v>
      </c>
      <c r="C24" s="5" t="s">
        <v>7</v>
      </c>
      <c r="D24" s="5" t="s">
        <v>51</v>
      </c>
      <c r="E24" s="5" t="s">
        <v>52</v>
      </c>
      <c r="F24" s="5" t="s">
        <v>52</v>
      </c>
      <c r="G24" s="12" t="s">
        <v>4</v>
      </c>
      <c r="H24" s="5" t="s">
        <v>103</v>
      </c>
    </row>
    <row r="25" customFormat="false" ht="15" hidden="false" customHeight="false" outlineLevel="0" collapsed="false">
      <c r="A25" s="5" t="s">
        <v>12</v>
      </c>
      <c r="B25" s="5" t="s">
        <v>104</v>
      </c>
      <c r="C25" s="5" t="s">
        <v>78</v>
      </c>
      <c r="D25" s="5" t="s">
        <v>51</v>
      </c>
      <c r="E25" s="5" t="s">
        <v>52</v>
      </c>
      <c r="F25" s="5" t="s">
        <v>52</v>
      </c>
      <c r="G25" s="10" t="s">
        <v>6</v>
      </c>
      <c r="H25" s="5" t="s">
        <v>105</v>
      </c>
    </row>
    <row r="26" customFormat="false" ht="15" hidden="false" customHeight="false" outlineLevel="0" collapsed="false">
      <c r="A26" s="5" t="s">
        <v>13</v>
      </c>
      <c r="B26" s="5" t="s">
        <v>106</v>
      </c>
      <c r="C26" s="5" t="s">
        <v>107</v>
      </c>
      <c r="D26" s="5" t="s">
        <v>52</v>
      </c>
      <c r="E26" s="5" t="s">
        <v>52</v>
      </c>
      <c r="F26" s="5" t="s">
        <v>52</v>
      </c>
      <c r="G26" s="13" t="s">
        <v>5</v>
      </c>
      <c r="H26" s="5" t="s">
        <v>108</v>
      </c>
    </row>
    <row r="27" customFormat="false" ht="15" hidden="false" customHeight="false" outlineLevel="0" collapsed="false">
      <c r="A27" s="5" t="s">
        <v>13</v>
      </c>
      <c r="B27" s="5" t="s">
        <v>109</v>
      </c>
      <c r="C27" s="5" t="s">
        <v>107</v>
      </c>
      <c r="D27" s="5" t="s">
        <v>52</v>
      </c>
      <c r="E27" s="5" t="s">
        <v>52</v>
      </c>
      <c r="F27" s="5" t="s">
        <v>52</v>
      </c>
      <c r="G27" s="13" t="s">
        <v>5</v>
      </c>
      <c r="H27" s="5" t="s">
        <v>110</v>
      </c>
    </row>
    <row r="28" customFormat="false" ht="15" hidden="false" customHeight="false" outlineLevel="0" collapsed="false">
      <c r="A28" s="5" t="s">
        <v>13</v>
      </c>
      <c r="B28" s="5" t="s">
        <v>111</v>
      </c>
      <c r="C28" s="5" t="s">
        <v>107</v>
      </c>
      <c r="D28" s="5" t="s">
        <v>52</v>
      </c>
      <c r="E28" s="5" t="s">
        <v>52</v>
      </c>
      <c r="F28" s="5" t="s">
        <v>52</v>
      </c>
      <c r="G28" s="13" t="s">
        <v>5</v>
      </c>
      <c r="H28" s="5" t="s">
        <v>112</v>
      </c>
    </row>
    <row r="29" customFormat="false" ht="15" hidden="false" customHeight="false" outlineLevel="0" collapsed="false">
      <c r="A29" s="5" t="s">
        <v>13</v>
      </c>
      <c r="B29" s="5" t="s">
        <v>113</v>
      </c>
      <c r="C29" s="5" t="s">
        <v>107</v>
      </c>
      <c r="D29" s="5" t="s">
        <v>52</v>
      </c>
      <c r="E29" s="5" t="s">
        <v>52</v>
      </c>
      <c r="F29" s="5" t="s">
        <v>52</v>
      </c>
      <c r="G29" s="13" t="s">
        <v>5</v>
      </c>
      <c r="H29" s="5" t="s">
        <v>76</v>
      </c>
    </row>
    <row r="30" customFormat="false" ht="15" hidden="false" customHeight="false" outlineLevel="0" collapsed="false">
      <c r="A30" s="5" t="s">
        <v>13</v>
      </c>
      <c r="B30" s="5" t="s">
        <v>114</v>
      </c>
      <c r="C30" s="5" t="s">
        <v>115</v>
      </c>
      <c r="D30" s="5" t="s">
        <v>52</v>
      </c>
      <c r="E30" s="5" t="s">
        <v>52</v>
      </c>
      <c r="F30" s="5" t="s">
        <v>52</v>
      </c>
      <c r="G30" s="12" t="s">
        <v>4</v>
      </c>
      <c r="H30" s="5" t="s">
        <v>116</v>
      </c>
    </row>
    <row r="31" customFormat="false" ht="15" hidden="false" customHeight="false" outlineLevel="0" collapsed="false">
      <c r="A31" s="5" t="s">
        <v>13</v>
      </c>
      <c r="B31" s="5" t="s">
        <v>117</v>
      </c>
      <c r="C31" s="5" t="s">
        <v>107</v>
      </c>
      <c r="D31" s="5" t="s">
        <v>51</v>
      </c>
      <c r="E31" s="5" t="s">
        <v>52</v>
      </c>
      <c r="F31" s="5" t="s">
        <v>52</v>
      </c>
      <c r="G31" s="10" t="s">
        <v>6</v>
      </c>
      <c r="H31" s="5" t="s">
        <v>86</v>
      </c>
    </row>
    <row r="32" customFormat="false" ht="15" hidden="false" customHeight="false" outlineLevel="0" collapsed="false">
      <c r="A32" s="5" t="s">
        <v>13</v>
      </c>
      <c r="B32" s="5" t="s">
        <v>118</v>
      </c>
      <c r="C32" s="5" t="s">
        <v>107</v>
      </c>
      <c r="D32" s="5" t="s">
        <v>52</v>
      </c>
      <c r="E32" s="5" t="s">
        <v>52</v>
      </c>
      <c r="F32" s="5" t="s">
        <v>52</v>
      </c>
      <c r="G32" s="13" t="s">
        <v>5</v>
      </c>
      <c r="H32" s="5" t="s">
        <v>119</v>
      </c>
    </row>
    <row r="33" customFormat="false" ht="15" hidden="false" customHeight="false" outlineLevel="0" collapsed="false">
      <c r="A33" s="5" t="s">
        <v>13</v>
      </c>
      <c r="B33" s="5" t="s">
        <v>120</v>
      </c>
      <c r="C33" s="5" t="s">
        <v>107</v>
      </c>
      <c r="D33" s="5" t="s">
        <v>52</v>
      </c>
      <c r="E33" s="5" t="s">
        <v>52</v>
      </c>
      <c r="F33" s="5" t="s">
        <v>52</v>
      </c>
      <c r="G33" s="13" t="s">
        <v>5</v>
      </c>
      <c r="H33" s="5" t="s">
        <v>121</v>
      </c>
    </row>
    <row r="34" customFormat="false" ht="15" hidden="false" customHeight="false" outlineLevel="0" collapsed="false">
      <c r="A34" s="5" t="s">
        <v>13</v>
      </c>
      <c r="B34" s="5" t="s">
        <v>122</v>
      </c>
      <c r="C34" s="5" t="s">
        <v>107</v>
      </c>
      <c r="D34" s="5" t="s">
        <v>52</v>
      </c>
      <c r="E34" s="5" t="s">
        <v>52</v>
      </c>
      <c r="F34" s="5" t="s">
        <v>52</v>
      </c>
      <c r="G34" s="13" t="s">
        <v>5</v>
      </c>
      <c r="H34" s="5" t="s">
        <v>123</v>
      </c>
    </row>
    <row r="35" customFormat="false" ht="15" hidden="false" customHeight="false" outlineLevel="0" collapsed="false">
      <c r="A35" s="5" t="s">
        <v>13</v>
      </c>
      <c r="B35" s="5" t="s">
        <v>124</v>
      </c>
      <c r="C35" s="5" t="s">
        <v>107</v>
      </c>
      <c r="D35" s="5" t="s">
        <v>51</v>
      </c>
      <c r="E35" s="5" t="s">
        <v>52</v>
      </c>
      <c r="F35" s="5" t="s">
        <v>52</v>
      </c>
      <c r="G35" s="10" t="s">
        <v>6</v>
      </c>
      <c r="H35" s="5" t="s">
        <v>125</v>
      </c>
    </row>
    <row r="36" customFormat="false" ht="15" hidden="false" customHeight="false" outlineLevel="0" collapsed="false">
      <c r="A36" s="5" t="s">
        <v>13</v>
      </c>
      <c r="B36" s="5" t="s">
        <v>126</v>
      </c>
      <c r="C36" s="5" t="s">
        <v>107</v>
      </c>
      <c r="D36" s="5" t="s">
        <v>51</v>
      </c>
      <c r="E36" s="5" t="s">
        <v>52</v>
      </c>
      <c r="F36" s="5" t="s">
        <v>52</v>
      </c>
      <c r="G36" s="10" t="s">
        <v>6</v>
      </c>
      <c r="H36" s="5" t="s">
        <v>127</v>
      </c>
    </row>
    <row r="37" customFormat="false" ht="15" hidden="false" customHeight="false" outlineLevel="0" collapsed="false">
      <c r="A37" s="5" t="s">
        <v>13</v>
      </c>
      <c r="B37" s="5" t="s">
        <v>128</v>
      </c>
      <c r="C37" s="5" t="s">
        <v>107</v>
      </c>
      <c r="D37" s="5" t="s">
        <v>51</v>
      </c>
      <c r="E37" s="5" t="s">
        <v>52</v>
      </c>
      <c r="F37" s="5" t="s">
        <v>52</v>
      </c>
      <c r="G37" s="10" t="s">
        <v>6</v>
      </c>
      <c r="H37" s="5" t="s">
        <v>129</v>
      </c>
    </row>
    <row r="38" customFormat="false" ht="15" hidden="false" customHeight="false" outlineLevel="0" collapsed="false">
      <c r="A38" s="5" t="s">
        <v>13</v>
      </c>
      <c r="B38" s="5" t="s">
        <v>130</v>
      </c>
      <c r="C38" s="5" t="s">
        <v>107</v>
      </c>
      <c r="D38" s="5" t="s">
        <v>51</v>
      </c>
      <c r="E38" s="5" t="s">
        <v>52</v>
      </c>
      <c r="F38" s="5" t="s">
        <v>52</v>
      </c>
      <c r="G38" s="10" t="s">
        <v>6</v>
      </c>
      <c r="H38" s="5" t="s">
        <v>131</v>
      </c>
    </row>
    <row r="39" customFormat="false" ht="15" hidden="false" customHeight="false" outlineLevel="0" collapsed="false">
      <c r="A39" s="5" t="s">
        <v>13</v>
      </c>
      <c r="B39" s="5" t="s">
        <v>132</v>
      </c>
      <c r="C39" s="5" t="s">
        <v>107</v>
      </c>
      <c r="D39" s="5" t="s">
        <v>52</v>
      </c>
      <c r="E39" s="5" t="s">
        <v>52</v>
      </c>
      <c r="F39" s="5" t="s">
        <v>52</v>
      </c>
      <c r="G39" s="12" t="s">
        <v>4</v>
      </c>
      <c r="H39" s="5" t="s">
        <v>133</v>
      </c>
    </row>
    <row r="40" customFormat="false" ht="15" hidden="false" customHeight="false" outlineLevel="0" collapsed="false">
      <c r="A40" s="5" t="s">
        <v>13</v>
      </c>
      <c r="B40" s="5" t="s">
        <v>134</v>
      </c>
      <c r="C40" s="5" t="s">
        <v>107</v>
      </c>
      <c r="D40" s="5" t="s">
        <v>52</v>
      </c>
      <c r="E40" s="5" t="s">
        <v>52</v>
      </c>
      <c r="F40" s="5" t="s">
        <v>52</v>
      </c>
      <c r="G40" s="13" t="s">
        <v>5</v>
      </c>
      <c r="H40" s="5" t="s">
        <v>135</v>
      </c>
    </row>
    <row r="41" customFormat="false" ht="15" hidden="false" customHeight="false" outlineLevel="0" collapsed="false">
      <c r="A41" s="5" t="s">
        <v>13</v>
      </c>
      <c r="B41" s="5" t="s">
        <v>136</v>
      </c>
      <c r="C41" s="5" t="s">
        <v>7</v>
      </c>
      <c r="D41" s="5" t="s">
        <v>51</v>
      </c>
      <c r="E41" s="5" t="s">
        <v>52</v>
      </c>
      <c r="F41" s="5" t="s">
        <v>52</v>
      </c>
      <c r="G41" s="11" t="s">
        <v>7</v>
      </c>
      <c r="H41" s="5" t="s">
        <v>137</v>
      </c>
    </row>
    <row r="42" customFormat="false" ht="15" hidden="false" customHeight="false" outlineLevel="0" collapsed="false">
      <c r="A42" s="5" t="s">
        <v>14</v>
      </c>
      <c r="B42" s="5" t="s">
        <v>138</v>
      </c>
      <c r="C42" s="5" t="s">
        <v>139</v>
      </c>
      <c r="D42" s="5" t="s">
        <v>52</v>
      </c>
      <c r="E42" s="5" t="s">
        <v>52</v>
      </c>
      <c r="F42" s="5" t="s">
        <v>52</v>
      </c>
      <c r="G42" s="13" t="s">
        <v>5</v>
      </c>
      <c r="H42" s="5" t="s">
        <v>140</v>
      </c>
    </row>
    <row r="43" customFormat="false" ht="15" hidden="false" customHeight="false" outlineLevel="0" collapsed="false">
      <c r="A43" s="5" t="s">
        <v>14</v>
      </c>
      <c r="B43" s="5" t="s">
        <v>141</v>
      </c>
      <c r="C43" s="5" t="s">
        <v>142</v>
      </c>
      <c r="D43" s="5" t="s">
        <v>51</v>
      </c>
      <c r="E43" s="5" t="s">
        <v>52</v>
      </c>
      <c r="F43" s="5" t="s">
        <v>52</v>
      </c>
      <c r="G43" s="10" t="s">
        <v>6</v>
      </c>
      <c r="H43" s="5" t="s">
        <v>143</v>
      </c>
    </row>
    <row r="44" customFormat="false" ht="15" hidden="false" customHeight="false" outlineLevel="0" collapsed="false">
      <c r="A44" s="5" t="s">
        <v>14</v>
      </c>
      <c r="B44" s="5" t="s">
        <v>144</v>
      </c>
      <c r="C44" s="5" t="s">
        <v>142</v>
      </c>
      <c r="D44" s="5" t="s">
        <v>51</v>
      </c>
      <c r="E44" s="5" t="s">
        <v>52</v>
      </c>
      <c r="F44" s="5" t="s">
        <v>52</v>
      </c>
      <c r="G44" s="10" t="s">
        <v>6</v>
      </c>
      <c r="H44" s="5" t="s">
        <v>145</v>
      </c>
    </row>
    <row r="45" customFormat="false" ht="15" hidden="false" customHeight="false" outlineLevel="0" collapsed="false">
      <c r="A45" s="5" t="s">
        <v>14</v>
      </c>
      <c r="B45" s="5" t="s">
        <v>146</v>
      </c>
      <c r="C45" s="5" t="s">
        <v>142</v>
      </c>
      <c r="D45" s="5" t="s">
        <v>51</v>
      </c>
      <c r="E45" s="5" t="s">
        <v>52</v>
      </c>
      <c r="F45" s="5" t="s">
        <v>52</v>
      </c>
      <c r="G45" s="10" t="s">
        <v>6</v>
      </c>
      <c r="H45" s="5" t="s">
        <v>147</v>
      </c>
    </row>
    <row r="46" customFormat="false" ht="15" hidden="false" customHeight="false" outlineLevel="0" collapsed="false">
      <c r="A46" s="5" t="s">
        <v>14</v>
      </c>
      <c r="B46" s="5" t="s">
        <v>148</v>
      </c>
      <c r="C46" s="5" t="s">
        <v>149</v>
      </c>
      <c r="D46" s="5" t="s">
        <v>51</v>
      </c>
      <c r="E46" s="5" t="s">
        <v>52</v>
      </c>
      <c r="F46" s="5" t="s">
        <v>52</v>
      </c>
      <c r="G46" s="10" t="s">
        <v>6</v>
      </c>
      <c r="H46" s="5" t="s">
        <v>150</v>
      </c>
    </row>
    <row r="47" customFormat="false" ht="15" hidden="false" customHeight="false" outlineLevel="0" collapsed="false">
      <c r="A47" s="5" t="s">
        <v>14</v>
      </c>
      <c r="B47" s="5" t="s">
        <v>151</v>
      </c>
      <c r="C47" s="5" t="s">
        <v>139</v>
      </c>
      <c r="D47" s="5" t="s">
        <v>52</v>
      </c>
      <c r="E47" s="5" t="s">
        <v>52</v>
      </c>
      <c r="F47" s="5" t="s">
        <v>52</v>
      </c>
      <c r="G47" s="13" t="s">
        <v>5</v>
      </c>
      <c r="H47" s="5" t="s">
        <v>152</v>
      </c>
    </row>
    <row r="48" customFormat="false" ht="15" hidden="false" customHeight="false" outlineLevel="0" collapsed="false">
      <c r="A48" s="5" t="s">
        <v>14</v>
      </c>
      <c r="B48" s="5" t="s">
        <v>153</v>
      </c>
      <c r="C48" s="5" t="s">
        <v>7</v>
      </c>
      <c r="D48" s="5" t="s">
        <v>51</v>
      </c>
      <c r="E48" s="5" t="s">
        <v>52</v>
      </c>
      <c r="F48" s="5" t="s">
        <v>52</v>
      </c>
      <c r="G48" s="11" t="s">
        <v>7</v>
      </c>
      <c r="H48" s="5" t="s">
        <v>154</v>
      </c>
    </row>
    <row r="49" customFormat="false" ht="15" hidden="false" customHeight="false" outlineLevel="0" collapsed="false">
      <c r="A49" s="5" t="s">
        <v>14</v>
      </c>
      <c r="B49" s="5" t="s">
        <v>155</v>
      </c>
      <c r="C49" s="5" t="s">
        <v>149</v>
      </c>
      <c r="D49" s="5" t="s">
        <v>51</v>
      </c>
      <c r="E49" s="5" t="s">
        <v>52</v>
      </c>
      <c r="F49" s="5" t="s">
        <v>52</v>
      </c>
      <c r="G49" s="10" t="s">
        <v>6</v>
      </c>
      <c r="H49" s="5" t="s">
        <v>156</v>
      </c>
    </row>
    <row r="50" customFormat="false" ht="15" hidden="false" customHeight="false" outlineLevel="0" collapsed="false">
      <c r="A50" s="5" t="s">
        <v>14</v>
      </c>
      <c r="B50" s="5" t="s">
        <v>157</v>
      </c>
      <c r="C50" s="5" t="s">
        <v>149</v>
      </c>
      <c r="D50" s="5" t="s">
        <v>51</v>
      </c>
      <c r="E50" s="5" t="s">
        <v>52</v>
      </c>
      <c r="F50" s="5" t="s">
        <v>52</v>
      </c>
      <c r="G50" s="10" t="s">
        <v>6</v>
      </c>
      <c r="H50" s="5" t="s">
        <v>101</v>
      </c>
    </row>
    <row r="51" customFormat="false" ht="15" hidden="false" customHeight="false" outlineLevel="0" collapsed="false">
      <c r="A51" s="5" t="s">
        <v>14</v>
      </c>
      <c r="B51" s="5" t="s">
        <v>158</v>
      </c>
      <c r="C51" s="5" t="s">
        <v>149</v>
      </c>
      <c r="D51" s="5" t="s">
        <v>51</v>
      </c>
      <c r="E51" s="5" t="s">
        <v>52</v>
      </c>
      <c r="F51" s="5" t="s">
        <v>66</v>
      </c>
      <c r="G51" s="10" t="s">
        <v>6</v>
      </c>
      <c r="H51" s="5" t="s">
        <v>159</v>
      </c>
    </row>
    <row r="52" customFormat="false" ht="15" hidden="false" customHeight="false" outlineLevel="0" collapsed="false">
      <c r="A52" s="5" t="s">
        <v>14</v>
      </c>
      <c r="B52" s="5" t="s">
        <v>160</v>
      </c>
      <c r="C52" s="5" t="s">
        <v>149</v>
      </c>
      <c r="D52" s="5" t="s">
        <v>51</v>
      </c>
      <c r="E52" s="5" t="s">
        <v>52</v>
      </c>
      <c r="F52" s="5" t="s">
        <v>52</v>
      </c>
      <c r="G52" s="10" t="s">
        <v>6</v>
      </c>
      <c r="H52" s="5" t="s">
        <v>161</v>
      </c>
    </row>
    <row r="53" customFormat="false" ht="15" hidden="false" customHeight="false" outlineLevel="0" collapsed="false">
      <c r="A53" s="5" t="s">
        <v>14</v>
      </c>
      <c r="B53" s="5" t="s">
        <v>162</v>
      </c>
      <c r="C53" s="5" t="s">
        <v>142</v>
      </c>
      <c r="D53" s="5" t="s">
        <v>51</v>
      </c>
      <c r="E53" s="5" t="s">
        <v>52</v>
      </c>
      <c r="F53" s="5" t="s">
        <v>52</v>
      </c>
      <c r="G53" s="10" t="s">
        <v>6</v>
      </c>
      <c r="H53" s="5" t="s">
        <v>163</v>
      </c>
    </row>
    <row r="54" customFormat="false" ht="15" hidden="false" customHeight="false" outlineLevel="0" collapsed="false">
      <c r="A54" s="5" t="s">
        <v>15</v>
      </c>
      <c r="B54" s="5" t="s">
        <v>164</v>
      </c>
      <c r="C54" s="5" t="s">
        <v>165</v>
      </c>
      <c r="D54" s="5" t="s">
        <v>52</v>
      </c>
      <c r="E54" s="5" t="s">
        <v>52</v>
      </c>
      <c r="F54" s="5" t="s">
        <v>52</v>
      </c>
      <c r="G54" s="13" t="s">
        <v>5</v>
      </c>
      <c r="H54" s="5" t="s">
        <v>166</v>
      </c>
    </row>
    <row r="55" customFormat="false" ht="15" hidden="false" customHeight="false" outlineLevel="0" collapsed="false">
      <c r="A55" s="5" t="s">
        <v>15</v>
      </c>
      <c r="B55" s="5" t="s">
        <v>167</v>
      </c>
      <c r="C55" s="5" t="s">
        <v>168</v>
      </c>
      <c r="D55" s="5" t="s">
        <v>51</v>
      </c>
      <c r="E55" s="5" t="s">
        <v>52</v>
      </c>
      <c r="F55" s="5" t="s">
        <v>52</v>
      </c>
      <c r="G55" s="10" t="s">
        <v>6</v>
      </c>
      <c r="H55" s="5" t="s">
        <v>79</v>
      </c>
    </row>
    <row r="56" customFormat="false" ht="15" hidden="false" customHeight="false" outlineLevel="0" collapsed="false">
      <c r="A56" s="5" t="s">
        <v>15</v>
      </c>
      <c r="B56" s="5" t="s">
        <v>169</v>
      </c>
      <c r="C56" s="5" t="s">
        <v>168</v>
      </c>
      <c r="D56" s="5" t="s">
        <v>51</v>
      </c>
      <c r="E56" s="5" t="s">
        <v>52</v>
      </c>
      <c r="F56" s="5" t="s">
        <v>52</v>
      </c>
      <c r="G56" s="10" t="s">
        <v>6</v>
      </c>
      <c r="H56" s="5" t="s">
        <v>170</v>
      </c>
    </row>
    <row r="57" customFormat="false" ht="15" hidden="false" customHeight="false" outlineLevel="0" collapsed="false">
      <c r="A57" s="5" t="s">
        <v>15</v>
      </c>
      <c r="B57" s="5" t="s">
        <v>171</v>
      </c>
      <c r="C57" s="5" t="s">
        <v>172</v>
      </c>
      <c r="D57" s="5" t="s">
        <v>51</v>
      </c>
      <c r="E57" s="5" t="s">
        <v>52</v>
      </c>
      <c r="F57" s="5" t="s">
        <v>52</v>
      </c>
      <c r="G57" s="10" t="s">
        <v>6</v>
      </c>
      <c r="H57" s="5" t="s">
        <v>161</v>
      </c>
    </row>
    <row r="58" customFormat="false" ht="15" hidden="false" customHeight="false" outlineLevel="0" collapsed="false">
      <c r="A58" s="5" t="s">
        <v>15</v>
      </c>
      <c r="B58" s="5" t="s">
        <v>173</v>
      </c>
      <c r="C58" s="5" t="s">
        <v>165</v>
      </c>
      <c r="D58" s="5" t="s">
        <v>52</v>
      </c>
      <c r="E58" s="5" t="s">
        <v>52</v>
      </c>
      <c r="F58" s="5" t="s">
        <v>52</v>
      </c>
      <c r="G58" s="13" t="s">
        <v>5</v>
      </c>
      <c r="H58" s="5" t="s">
        <v>174</v>
      </c>
    </row>
    <row r="59" customFormat="false" ht="15" hidden="false" customHeight="false" outlineLevel="0" collapsed="false">
      <c r="A59" s="5" t="s">
        <v>15</v>
      </c>
      <c r="B59" s="5" t="s">
        <v>175</v>
      </c>
      <c r="C59" s="5" t="s">
        <v>165</v>
      </c>
      <c r="D59" s="5" t="s">
        <v>52</v>
      </c>
      <c r="E59" s="5" t="s">
        <v>52</v>
      </c>
      <c r="F59" s="5" t="s">
        <v>52</v>
      </c>
      <c r="G59" s="13" t="s">
        <v>5</v>
      </c>
      <c r="H59" s="5" t="s">
        <v>176</v>
      </c>
    </row>
    <row r="60" customFormat="false" ht="15" hidden="false" customHeight="false" outlineLevel="0" collapsed="false">
      <c r="A60" s="5" t="s">
        <v>15</v>
      </c>
      <c r="B60" s="5" t="s">
        <v>177</v>
      </c>
      <c r="C60" s="5" t="s">
        <v>165</v>
      </c>
      <c r="D60" s="5" t="s">
        <v>52</v>
      </c>
      <c r="E60" s="5" t="s">
        <v>52</v>
      </c>
      <c r="F60" s="5" t="s">
        <v>52</v>
      </c>
      <c r="G60" s="13" t="s">
        <v>5</v>
      </c>
      <c r="H60" s="5" t="s">
        <v>176</v>
      </c>
    </row>
    <row r="61" customFormat="false" ht="15" hidden="false" customHeight="false" outlineLevel="0" collapsed="false">
      <c r="A61" s="5" t="s">
        <v>15</v>
      </c>
      <c r="B61" s="5" t="s">
        <v>178</v>
      </c>
      <c r="C61" s="5" t="s">
        <v>172</v>
      </c>
      <c r="D61" s="5" t="s">
        <v>51</v>
      </c>
      <c r="E61" s="5" t="s">
        <v>52</v>
      </c>
      <c r="F61" s="5" t="s">
        <v>66</v>
      </c>
      <c r="G61" s="10" t="s">
        <v>6</v>
      </c>
      <c r="H61" s="5" t="s">
        <v>159</v>
      </c>
    </row>
    <row r="62" customFormat="false" ht="15" hidden="false" customHeight="false" outlineLevel="0" collapsed="false">
      <c r="A62" s="5" t="s">
        <v>15</v>
      </c>
      <c r="B62" s="5" t="s">
        <v>179</v>
      </c>
      <c r="C62" s="5" t="s">
        <v>172</v>
      </c>
      <c r="D62" s="5" t="s">
        <v>51</v>
      </c>
      <c r="E62" s="5" t="s">
        <v>52</v>
      </c>
      <c r="F62" s="5" t="s">
        <v>52</v>
      </c>
      <c r="G62" s="10" t="s">
        <v>6</v>
      </c>
      <c r="H62" s="5" t="s">
        <v>180</v>
      </c>
    </row>
    <row r="63" customFormat="false" ht="15" hidden="false" customHeight="false" outlineLevel="0" collapsed="false">
      <c r="A63" s="5" t="s">
        <v>15</v>
      </c>
      <c r="B63" s="5" t="s">
        <v>181</v>
      </c>
      <c r="C63" s="5" t="s">
        <v>172</v>
      </c>
      <c r="D63" s="5" t="s">
        <v>51</v>
      </c>
      <c r="E63" s="5" t="s">
        <v>52</v>
      </c>
      <c r="F63" s="5" t="s">
        <v>52</v>
      </c>
      <c r="G63" s="10" t="s">
        <v>6</v>
      </c>
      <c r="H63" s="5" t="s">
        <v>182</v>
      </c>
    </row>
    <row r="64" customFormat="false" ht="15" hidden="false" customHeight="false" outlineLevel="0" collapsed="false">
      <c r="A64" s="5" t="s">
        <v>16</v>
      </c>
      <c r="B64" s="5" t="s">
        <v>183</v>
      </c>
      <c r="C64" s="5" t="s">
        <v>184</v>
      </c>
      <c r="D64" s="5" t="s">
        <v>52</v>
      </c>
      <c r="E64" s="5" t="s">
        <v>52</v>
      </c>
      <c r="F64" s="5" t="s">
        <v>52</v>
      </c>
      <c r="G64" s="13" t="s">
        <v>5</v>
      </c>
      <c r="H64" s="5" t="s">
        <v>185</v>
      </c>
    </row>
    <row r="65" customFormat="false" ht="15" hidden="false" customHeight="false" outlineLevel="0" collapsed="false">
      <c r="A65" s="5" t="s">
        <v>16</v>
      </c>
      <c r="B65" s="5" t="s">
        <v>186</v>
      </c>
      <c r="C65" s="5" t="s">
        <v>184</v>
      </c>
      <c r="D65" s="5" t="s">
        <v>52</v>
      </c>
      <c r="E65" s="5" t="s">
        <v>52</v>
      </c>
      <c r="F65" s="5" t="s">
        <v>52</v>
      </c>
      <c r="G65" s="12" t="s">
        <v>4</v>
      </c>
      <c r="H65" s="5" t="s">
        <v>187</v>
      </c>
    </row>
    <row r="66" customFormat="false" ht="15" hidden="false" customHeight="false" outlineLevel="0" collapsed="false">
      <c r="A66" s="5" t="s">
        <v>16</v>
      </c>
      <c r="B66" s="5" t="s">
        <v>188</v>
      </c>
      <c r="C66" s="5" t="s">
        <v>184</v>
      </c>
      <c r="D66" s="5" t="s">
        <v>52</v>
      </c>
      <c r="E66" s="5" t="s">
        <v>52</v>
      </c>
      <c r="F66" s="5" t="s">
        <v>52</v>
      </c>
      <c r="G66" s="12" t="s">
        <v>4</v>
      </c>
      <c r="H66" s="5" t="s">
        <v>189</v>
      </c>
    </row>
    <row r="67" customFormat="false" ht="15" hidden="false" customHeight="false" outlineLevel="0" collapsed="false">
      <c r="A67" s="5" t="s">
        <v>16</v>
      </c>
      <c r="B67" s="5" t="s">
        <v>190</v>
      </c>
      <c r="C67" s="5" t="s">
        <v>184</v>
      </c>
      <c r="D67" s="5" t="s">
        <v>52</v>
      </c>
      <c r="E67" s="5" t="s">
        <v>52</v>
      </c>
      <c r="F67" s="5" t="s">
        <v>52</v>
      </c>
      <c r="G67" s="13" t="s">
        <v>5</v>
      </c>
      <c r="H67" s="5" t="s">
        <v>191</v>
      </c>
    </row>
    <row r="68" customFormat="false" ht="15" hidden="false" customHeight="false" outlineLevel="0" collapsed="false">
      <c r="A68" s="5" t="s">
        <v>16</v>
      </c>
      <c r="B68" s="5" t="s">
        <v>192</v>
      </c>
      <c r="C68" s="5" t="s">
        <v>184</v>
      </c>
      <c r="D68" s="5" t="s">
        <v>51</v>
      </c>
      <c r="E68" s="5" t="s">
        <v>52</v>
      </c>
      <c r="F68" s="5" t="s">
        <v>52</v>
      </c>
      <c r="G68" s="10" t="s">
        <v>6</v>
      </c>
      <c r="H68" s="5" t="s">
        <v>193</v>
      </c>
    </row>
    <row r="69" customFormat="false" ht="15" hidden="false" customHeight="false" outlineLevel="0" collapsed="false">
      <c r="A69" s="5" t="s">
        <v>17</v>
      </c>
      <c r="B69" s="5" t="s">
        <v>194</v>
      </c>
      <c r="C69" s="5" t="s">
        <v>195</v>
      </c>
      <c r="D69" s="5" t="s">
        <v>52</v>
      </c>
      <c r="E69" s="5" t="s">
        <v>52</v>
      </c>
      <c r="F69" s="5" t="s">
        <v>52</v>
      </c>
      <c r="G69" s="13" t="s">
        <v>5</v>
      </c>
      <c r="H69" s="5" t="s">
        <v>196</v>
      </c>
    </row>
    <row r="70" customFormat="false" ht="15" hidden="false" customHeight="false" outlineLevel="0" collapsed="false">
      <c r="A70" s="5" t="s">
        <v>17</v>
      </c>
      <c r="B70" s="5" t="s">
        <v>197</v>
      </c>
      <c r="C70" s="5" t="s">
        <v>198</v>
      </c>
      <c r="D70" s="5" t="s">
        <v>51</v>
      </c>
      <c r="E70" s="5" t="s">
        <v>52</v>
      </c>
      <c r="F70" s="5" t="s">
        <v>52</v>
      </c>
      <c r="G70" s="10" t="s">
        <v>6</v>
      </c>
      <c r="H70" s="5" t="s">
        <v>79</v>
      </c>
    </row>
    <row r="71" customFormat="false" ht="15" hidden="false" customHeight="false" outlineLevel="0" collapsed="false">
      <c r="A71" s="5" t="s">
        <v>17</v>
      </c>
      <c r="B71" s="5" t="s">
        <v>199</v>
      </c>
      <c r="C71" s="5" t="s">
        <v>7</v>
      </c>
      <c r="D71" s="5" t="s">
        <v>51</v>
      </c>
      <c r="E71" s="5" t="s">
        <v>52</v>
      </c>
      <c r="F71" s="5" t="s">
        <v>52</v>
      </c>
      <c r="G71" s="11" t="s">
        <v>7</v>
      </c>
      <c r="H71" s="5" t="s">
        <v>200</v>
      </c>
    </row>
    <row r="72" customFormat="false" ht="15" hidden="false" customHeight="false" outlineLevel="0" collapsed="false">
      <c r="A72" s="5" t="s">
        <v>17</v>
      </c>
      <c r="B72" s="5" t="s">
        <v>201</v>
      </c>
      <c r="C72" s="5" t="s">
        <v>7</v>
      </c>
      <c r="D72" s="5" t="s">
        <v>51</v>
      </c>
      <c r="E72" s="5" t="s">
        <v>52</v>
      </c>
      <c r="F72" s="5" t="s">
        <v>52</v>
      </c>
      <c r="G72" s="11" t="s">
        <v>7</v>
      </c>
      <c r="H72" s="5" t="s">
        <v>202</v>
      </c>
    </row>
    <row r="73" customFormat="false" ht="15" hidden="false" customHeight="false" outlineLevel="0" collapsed="false">
      <c r="A73" s="5" t="s">
        <v>17</v>
      </c>
      <c r="B73" s="5" t="s">
        <v>203</v>
      </c>
      <c r="C73" s="5" t="s">
        <v>7</v>
      </c>
      <c r="D73" s="5" t="s">
        <v>51</v>
      </c>
      <c r="E73" s="5" t="s">
        <v>52</v>
      </c>
      <c r="F73" s="5" t="s">
        <v>52</v>
      </c>
      <c r="G73" s="10" t="s">
        <v>6</v>
      </c>
      <c r="H73" s="5" t="s">
        <v>204</v>
      </c>
    </row>
    <row r="74" customFormat="false" ht="15" hidden="false" customHeight="false" outlineLevel="0" collapsed="false">
      <c r="A74" s="5" t="s">
        <v>17</v>
      </c>
      <c r="B74" s="5" t="s">
        <v>205</v>
      </c>
      <c r="C74" s="5" t="s">
        <v>7</v>
      </c>
      <c r="D74" s="5" t="s">
        <v>51</v>
      </c>
      <c r="E74" s="5" t="s">
        <v>52</v>
      </c>
      <c r="F74" s="5" t="s">
        <v>52</v>
      </c>
      <c r="G74" s="11" t="s">
        <v>7</v>
      </c>
      <c r="H74" s="5" t="s">
        <v>206</v>
      </c>
    </row>
    <row r="75" customFormat="false" ht="15" hidden="false" customHeight="false" outlineLevel="0" collapsed="false">
      <c r="A75" s="5" t="s">
        <v>17</v>
      </c>
      <c r="B75" s="5" t="s">
        <v>207</v>
      </c>
      <c r="C75" s="5" t="s">
        <v>7</v>
      </c>
      <c r="D75" s="5" t="s">
        <v>51</v>
      </c>
      <c r="E75" s="5" t="s">
        <v>52</v>
      </c>
      <c r="F75" s="5" t="s">
        <v>52</v>
      </c>
      <c r="G75" s="11" t="s">
        <v>7</v>
      </c>
      <c r="H75" s="5" t="s">
        <v>208</v>
      </c>
    </row>
    <row r="76" customFormat="false" ht="15" hidden="false" customHeight="false" outlineLevel="0" collapsed="false">
      <c r="A76" s="5" t="s">
        <v>17</v>
      </c>
      <c r="B76" s="5" t="s">
        <v>209</v>
      </c>
      <c r="C76" s="5" t="s">
        <v>195</v>
      </c>
      <c r="D76" s="5" t="s">
        <v>51</v>
      </c>
      <c r="E76" s="5" t="s">
        <v>52</v>
      </c>
      <c r="F76" s="5" t="s">
        <v>52</v>
      </c>
      <c r="G76" s="10" t="s">
        <v>6</v>
      </c>
      <c r="H76" s="5" t="s">
        <v>210</v>
      </c>
    </row>
    <row r="77" customFormat="false" ht="15" hidden="false" customHeight="false" outlineLevel="0" collapsed="false">
      <c r="A77" s="5" t="s">
        <v>17</v>
      </c>
      <c r="B77" s="5" t="s">
        <v>211</v>
      </c>
      <c r="C77" s="5" t="s">
        <v>195</v>
      </c>
      <c r="D77" s="5" t="s">
        <v>51</v>
      </c>
      <c r="E77" s="5" t="s">
        <v>52</v>
      </c>
      <c r="F77" s="5" t="s">
        <v>52</v>
      </c>
      <c r="G77" s="10" t="s">
        <v>6</v>
      </c>
      <c r="H77" s="5" t="s">
        <v>212</v>
      </c>
    </row>
    <row r="78" customFormat="false" ht="15" hidden="false" customHeight="false" outlineLevel="0" collapsed="false">
      <c r="A78" s="5" t="s">
        <v>17</v>
      </c>
      <c r="B78" s="5" t="s">
        <v>213</v>
      </c>
      <c r="C78" s="5" t="s">
        <v>195</v>
      </c>
      <c r="D78" s="5" t="s">
        <v>52</v>
      </c>
      <c r="E78" s="5" t="s">
        <v>52</v>
      </c>
      <c r="F78" s="5" t="s">
        <v>52</v>
      </c>
      <c r="G78" s="13" t="s">
        <v>5</v>
      </c>
      <c r="H78" s="5" t="s">
        <v>191</v>
      </c>
    </row>
    <row r="79" customFormat="false" ht="15" hidden="false" customHeight="false" outlineLevel="0" collapsed="false">
      <c r="A79" s="5" t="s">
        <v>214</v>
      </c>
      <c r="B79" s="5" t="s">
        <v>215</v>
      </c>
      <c r="C79" s="5" t="s">
        <v>216</v>
      </c>
      <c r="D79" s="5" t="s">
        <v>51</v>
      </c>
      <c r="E79" s="5" t="s">
        <v>52</v>
      </c>
      <c r="F79" s="5" t="s">
        <v>52</v>
      </c>
      <c r="G79" s="10" t="s">
        <v>6</v>
      </c>
      <c r="H79" s="5" t="s">
        <v>217</v>
      </c>
    </row>
    <row r="80" customFormat="false" ht="15" hidden="false" customHeight="false" outlineLevel="0" collapsed="false">
      <c r="A80" s="5" t="s">
        <v>214</v>
      </c>
      <c r="B80" s="5" t="s">
        <v>218</v>
      </c>
      <c r="C80" s="5" t="s">
        <v>219</v>
      </c>
      <c r="D80" s="5" t="s">
        <v>51</v>
      </c>
      <c r="E80" s="5" t="s">
        <v>52</v>
      </c>
      <c r="F80" s="5" t="s">
        <v>52</v>
      </c>
      <c r="G80" s="10" t="s">
        <v>6</v>
      </c>
      <c r="H80" s="5" t="s">
        <v>220</v>
      </c>
    </row>
    <row r="81" customFormat="false" ht="15" hidden="false" customHeight="false" outlineLevel="0" collapsed="false">
      <c r="A81" s="5" t="s">
        <v>214</v>
      </c>
      <c r="B81" s="5" t="s">
        <v>221</v>
      </c>
      <c r="C81" s="5" t="s">
        <v>222</v>
      </c>
      <c r="D81" s="5" t="s">
        <v>51</v>
      </c>
      <c r="E81" s="5" t="s">
        <v>52</v>
      </c>
      <c r="F81" s="5" t="s">
        <v>52</v>
      </c>
      <c r="G81" s="10" t="s">
        <v>6</v>
      </c>
      <c r="H81" s="5" t="s">
        <v>223</v>
      </c>
    </row>
    <row r="82" customFormat="false" ht="15" hidden="false" customHeight="false" outlineLevel="0" collapsed="false">
      <c r="A82" s="5" t="s">
        <v>214</v>
      </c>
      <c r="B82" s="5" t="s">
        <v>224</v>
      </c>
      <c r="C82" s="5" t="s">
        <v>225</v>
      </c>
      <c r="D82" s="5" t="s">
        <v>51</v>
      </c>
      <c r="E82" s="5" t="s">
        <v>52</v>
      </c>
      <c r="F82" s="5" t="s">
        <v>52</v>
      </c>
      <c r="G82" s="10" t="s">
        <v>6</v>
      </c>
      <c r="H82" s="5" t="s">
        <v>226</v>
      </c>
    </row>
    <row r="83" customFormat="false" ht="15" hidden="false" customHeight="false" outlineLevel="0" collapsed="false">
      <c r="A83" s="5" t="s">
        <v>214</v>
      </c>
      <c r="B83" s="5" t="s">
        <v>227</v>
      </c>
      <c r="C83" s="5" t="s">
        <v>228</v>
      </c>
      <c r="D83" s="5" t="s">
        <v>51</v>
      </c>
      <c r="E83" s="5" t="s">
        <v>52</v>
      </c>
      <c r="F83" s="5" t="s">
        <v>52</v>
      </c>
      <c r="G83" s="10" t="s">
        <v>6</v>
      </c>
      <c r="H83" s="5" t="s">
        <v>223</v>
      </c>
    </row>
    <row r="84" customFormat="false" ht="15" hidden="false" customHeight="false" outlineLevel="0" collapsed="false">
      <c r="A84" s="5" t="s">
        <v>214</v>
      </c>
      <c r="B84" s="5" t="s">
        <v>229</v>
      </c>
      <c r="C84" s="5" t="s">
        <v>230</v>
      </c>
      <c r="D84" s="5" t="s">
        <v>51</v>
      </c>
      <c r="E84" s="5" t="s">
        <v>52</v>
      </c>
      <c r="F84" s="5" t="s">
        <v>52</v>
      </c>
      <c r="G84" s="10" t="s">
        <v>6</v>
      </c>
      <c r="H84" s="5" t="s">
        <v>220</v>
      </c>
    </row>
    <row r="85" customFormat="false" ht="15" hidden="false" customHeight="false" outlineLevel="0" collapsed="false">
      <c r="A85" s="5" t="s">
        <v>214</v>
      </c>
      <c r="B85" s="5" t="s">
        <v>231</v>
      </c>
      <c r="C85" s="5" t="s">
        <v>232</v>
      </c>
      <c r="D85" s="5" t="s">
        <v>51</v>
      </c>
      <c r="E85" s="5" t="s">
        <v>52</v>
      </c>
      <c r="F85" s="5" t="s">
        <v>52</v>
      </c>
      <c r="G85" s="10" t="s">
        <v>6</v>
      </c>
      <c r="H85" s="5" t="s">
        <v>223</v>
      </c>
    </row>
    <row r="86" customFormat="false" ht="15" hidden="false" customHeight="false" outlineLevel="0" collapsed="false">
      <c r="A86" s="5" t="s">
        <v>214</v>
      </c>
      <c r="B86" s="5" t="s">
        <v>233</v>
      </c>
      <c r="C86" s="5" t="s">
        <v>234</v>
      </c>
      <c r="D86" s="5" t="s">
        <v>51</v>
      </c>
      <c r="E86" s="5" t="s">
        <v>52</v>
      </c>
      <c r="F86" s="5" t="s">
        <v>52</v>
      </c>
      <c r="G86" s="10" t="s">
        <v>6</v>
      </c>
      <c r="H86" s="5" t="s">
        <v>226</v>
      </c>
    </row>
    <row r="87" customFormat="false" ht="15" hidden="false" customHeight="false" outlineLevel="0" collapsed="false">
      <c r="A87" s="5" t="s">
        <v>214</v>
      </c>
      <c r="B87" s="5" t="s">
        <v>235</v>
      </c>
      <c r="C87" s="5" t="s">
        <v>236</v>
      </c>
      <c r="D87" s="5" t="s">
        <v>51</v>
      </c>
      <c r="E87" s="5" t="s">
        <v>52</v>
      </c>
      <c r="F87" s="5" t="s">
        <v>52</v>
      </c>
      <c r="G87" s="10" t="s">
        <v>6</v>
      </c>
      <c r="H87" s="5" t="s">
        <v>223</v>
      </c>
    </row>
    <row r="88" customFormat="false" ht="15" hidden="false" customHeight="false" outlineLevel="0" collapsed="false">
      <c r="A88" s="5" t="s">
        <v>214</v>
      </c>
      <c r="B88" s="5" t="s">
        <v>237</v>
      </c>
      <c r="C88" s="5" t="s">
        <v>238</v>
      </c>
      <c r="D88" s="5" t="s">
        <v>51</v>
      </c>
      <c r="E88" s="5" t="s">
        <v>52</v>
      </c>
      <c r="F88" s="5" t="s">
        <v>52</v>
      </c>
      <c r="G88" s="10" t="s">
        <v>6</v>
      </c>
      <c r="H88" s="5" t="s">
        <v>220</v>
      </c>
    </row>
    <row r="89" customFormat="false" ht="15" hidden="false" customHeight="false" outlineLevel="0" collapsed="false">
      <c r="A89" s="5" t="s">
        <v>214</v>
      </c>
      <c r="B89" s="5" t="s">
        <v>239</v>
      </c>
      <c r="C89" s="5" t="s">
        <v>240</v>
      </c>
      <c r="D89" s="5" t="s">
        <v>51</v>
      </c>
      <c r="E89" s="5" t="s">
        <v>52</v>
      </c>
      <c r="F89" s="5" t="s">
        <v>52</v>
      </c>
      <c r="G89" s="10" t="s">
        <v>6</v>
      </c>
      <c r="H89" s="5" t="s">
        <v>223</v>
      </c>
    </row>
    <row r="90" customFormat="false" ht="15" hidden="false" customHeight="false" outlineLevel="0" collapsed="false">
      <c r="A90" s="5" t="s">
        <v>214</v>
      </c>
      <c r="B90" s="5" t="s">
        <v>241</v>
      </c>
      <c r="C90" s="5" t="s">
        <v>242</v>
      </c>
      <c r="D90" s="5" t="s">
        <v>51</v>
      </c>
      <c r="E90" s="5" t="s">
        <v>52</v>
      </c>
      <c r="F90" s="5" t="s">
        <v>52</v>
      </c>
      <c r="G90" s="10" t="s">
        <v>6</v>
      </c>
      <c r="H90" s="5" t="s">
        <v>226</v>
      </c>
    </row>
    <row r="91" customFormat="false" ht="15" hidden="false" customHeight="false" outlineLevel="0" collapsed="false">
      <c r="A91" s="5" t="s">
        <v>214</v>
      </c>
      <c r="B91" s="5" t="s">
        <v>243</v>
      </c>
      <c r="C91" s="5" t="s">
        <v>244</v>
      </c>
      <c r="D91" s="5" t="s">
        <v>51</v>
      </c>
      <c r="E91" s="5" t="s">
        <v>52</v>
      </c>
      <c r="F91" s="5" t="s">
        <v>52</v>
      </c>
      <c r="G91" s="10" t="s">
        <v>6</v>
      </c>
      <c r="H91" s="5" t="s">
        <v>223</v>
      </c>
    </row>
    <row r="92" customFormat="false" ht="15" hidden="false" customHeight="false" outlineLevel="0" collapsed="false">
      <c r="A92" s="5" t="s">
        <v>214</v>
      </c>
      <c r="B92" s="5" t="s">
        <v>245</v>
      </c>
      <c r="C92" s="5" t="s">
        <v>246</v>
      </c>
      <c r="D92" s="5" t="s">
        <v>51</v>
      </c>
      <c r="E92" s="5" t="s">
        <v>52</v>
      </c>
      <c r="F92" s="5" t="s">
        <v>52</v>
      </c>
      <c r="G92" s="10" t="s">
        <v>6</v>
      </c>
      <c r="H92" s="5" t="s">
        <v>220</v>
      </c>
    </row>
    <row r="93" customFormat="false" ht="15" hidden="false" customHeight="false" outlineLevel="0" collapsed="false">
      <c r="A93" s="5" t="s">
        <v>214</v>
      </c>
      <c r="B93" s="5" t="s">
        <v>247</v>
      </c>
      <c r="C93" s="5" t="s">
        <v>248</v>
      </c>
      <c r="D93" s="5" t="s">
        <v>51</v>
      </c>
      <c r="E93" s="5" t="s">
        <v>52</v>
      </c>
      <c r="F93" s="5" t="s">
        <v>52</v>
      </c>
      <c r="G93" s="10" t="s">
        <v>6</v>
      </c>
      <c r="H93" s="5" t="s">
        <v>223</v>
      </c>
    </row>
    <row r="94" customFormat="false" ht="15" hidden="false" customHeight="false" outlineLevel="0" collapsed="false">
      <c r="A94" s="5" t="s">
        <v>214</v>
      </c>
      <c r="B94" s="5" t="s">
        <v>249</v>
      </c>
      <c r="C94" s="5" t="s">
        <v>250</v>
      </c>
      <c r="D94" s="5" t="s">
        <v>51</v>
      </c>
      <c r="E94" s="5" t="s">
        <v>52</v>
      </c>
      <c r="F94" s="5" t="s">
        <v>52</v>
      </c>
      <c r="G94" s="10" t="s">
        <v>6</v>
      </c>
      <c r="H94" s="5" t="s">
        <v>251</v>
      </c>
    </row>
    <row r="95" customFormat="false" ht="15" hidden="false" customHeight="false" outlineLevel="0" collapsed="false">
      <c r="A95" s="5" t="s">
        <v>214</v>
      </c>
      <c r="B95" s="5" t="s">
        <v>252</v>
      </c>
      <c r="C95" s="5" t="s">
        <v>7</v>
      </c>
      <c r="D95" s="5" t="s">
        <v>51</v>
      </c>
      <c r="E95" s="5" t="s">
        <v>51</v>
      </c>
      <c r="F95" s="5" t="s">
        <v>51</v>
      </c>
      <c r="G95" s="11" t="s">
        <v>7</v>
      </c>
      <c r="H95" s="5" t="s">
        <v>253</v>
      </c>
    </row>
    <row r="96" customFormat="false" ht="15" hidden="false" customHeight="false" outlineLevel="0" collapsed="false">
      <c r="A96" s="5" t="s">
        <v>214</v>
      </c>
      <c r="B96" s="5" t="s">
        <v>254</v>
      </c>
      <c r="C96" s="5" t="s">
        <v>7</v>
      </c>
      <c r="D96" s="5" t="s">
        <v>51</v>
      </c>
      <c r="E96" s="5" t="s">
        <v>52</v>
      </c>
      <c r="F96" s="5" t="s">
        <v>52</v>
      </c>
      <c r="G96" s="11" t="s">
        <v>7</v>
      </c>
      <c r="H96" s="5" t="s">
        <v>255</v>
      </c>
    </row>
    <row r="97" customFormat="false" ht="15" hidden="false" customHeight="false" outlineLevel="0" collapsed="false">
      <c r="A97" s="5" t="s">
        <v>20</v>
      </c>
      <c r="B97" s="5" t="s">
        <v>256</v>
      </c>
      <c r="C97" s="5" t="s">
        <v>257</v>
      </c>
      <c r="D97" s="5" t="s">
        <v>51</v>
      </c>
      <c r="E97" s="5" t="s">
        <v>52</v>
      </c>
      <c r="F97" s="5" t="s">
        <v>52</v>
      </c>
      <c r="G97" s="10" t="s">
        <v>6</v>
      </c>
      <c r="H97" s="5" t="s">
        <v>258</v>
      </c>
    </row>
    <row r="98" customFormat="false" ht="15" hidden="false" customHeight="false" outlineLevel="0" collapsed="false">
      <c r="A98" s="5" t="s">
        <v>20</v>
      </c>
      <c r="B98" s="5" t="s">
        <v>259</v>
      </c>
      <c r="C98" s="5" t="s">
        <v>257</v>
      </c>
      <c r="D98" s="5" t="s">
        <v>51</v>
      </c>
      <c r="E98" s="5" t="s">
        <v>52</v>
      </c>
      <c r="F98" s="5" t="s">
        <v>52</v>
      </c>
      <c r="G98" s="10" t="s">
        <v>6</v>
      </c>
      <c r="H98" s="5" t="s">
        <v>260</v>
      </c>
    </row>
    <row r="99" customFormat="false" ht="15" hidden="false" customHeight="false" outlineLevel="0" collapsed="false">
      <c r="A99" s="5" t="s">
        <v>20</v>
      </c>
      <c r="B99" s="5" t="s">
        <v>261</v>
      </c>
      <c r="C99" s="5" t="s">
        <v>257</v>
      </c>
      <c r="D99" s="5" t="s">
        <v>51</v>
      </c>
      <c r="E99" s="5" t="s">
        <v>52</v>
      </c>
      <c r="F99" s="5" t="s">
        <v>52</v>
      </c>
      <c r="G99" s="10" t="s">
        <v>6</v>
      </c>
      <c r="H99" s="5" t="s">
        <v>262</v>
      </c>
    </row>
    <row r="100" customFormat="false" ht="15" hidden="false" customHeight="false" outlineLevel="0" collapsed="false">
      <c r="A100" s="5" t="s">
        <v>20</v>
      </c>
      <c r="B100" s="5" t="s">
        <v>263</v>
      </c>
      <c r="C100" s="5" t="s">
        <v>257</v>
      </c>
      <c r="D100" s="5" t="s">
        <v>51</v>
      </c>
      <c r="E100" s="5" t="s">
        <v>52</v>
      </c>
      <c r="F100" s="5" t="s">
        <v>52</v>
      </c>
      <c r="G100" s="10" t="s">
        <v>6</v>
      </c>
      <c r="H100" s="5" t="s">
        <v>264</v>
      </c>
    </row>
    <row r="101" customFormat="false" ht="15" hidden="false" customHeight="false" outlineLevel="0" collapsed="false">
      <c r="A101" s="5" t="s">
        <v>20</v>
      </c>
      <c r="B101" s="5" t="s">
        <v>265</v>
      </c>
      <c r="C101" s="5" t="s">
        <v>257</v>
      </c>
      <c r="D101" s="5" t="s">
        <v>51</v>
      </c>
      <c r="E101" s="5" t="s">
        <v>52</v>
      </c>
      <c r="F101" s="5" t="s">
        <v>52</v>
      </c>
      <c r="G101" s="10" t="s">
        <v>6</v>
      </c>
      <c r="H101" s="5" t="s">
        <v>266</v>
      </c>
    </row>
    <row r="102" customFormat="false" ht="15" hidden="false" customHeight="false" outlineLevel="0" collapsed="false">
      <c r="A102" s="5" t="s">
        <v>20</v>
      </c>
      <c r="B102" s="5" t="s">
        <v>267</v>
      </c>
      <c r="C102" s="5" t="s">
        <v>257</v>
      </c>
      <c r="D102" s="5" t="s">
        <v>51</v>
      </c>
      <c r="E102" s="5" t="s">
        <v>52</v>
      </c>
      <c r="F102" s="5" t="s">
        <v>52</v>
      </c>
      <c r="G102" s="10" t="s">
        <v>6</v>
      </c>
      <c r="H102" s="5" t="s">
        <v>268</v>
      </c>
    </row>
    <row r="103" customFormat="false" ht="15" hidden="false" customHeight="false" outlineLevel="0" collapsed="false">
      <c r="A103" s="5" t="s">
        <v>20</v>
      </c>
      <c r="B103" s="5" t="s">
        <v>269</v>
      </c>
      <c r="C103" s="5" t="s">
        <v>257</v>
      </c>
      <c r="D103" s="5" t="s">
        <v>51</v>
      </c>
      <c r="E103" s="5" t="s">
        <v>52</v>
      </c>
      <c r="F103" s="5" t="s">
        <v>52</v>
      </c>
      <c r="G103" s="10" t="s">
        <v>6</v>
      </c>
      <c r="H103" s="5" t="s">
        <v>270</v>
      </c>
    </row>
    <row r="104" customFormat="false" ht="15" hidden="false" customHeight="false" outlineLevel="0" collapsed="false">
      <c r="A104" s="5" t="s">
        <v>20</v>
      </c>
      <c r="B104" s="5" t="s">
        <v>271</v>
      </c>
      <c r="C104" s="5" t="s">
        <v>257</v>
      </c>
      <c r="D104" s="5" t="s">
        <v>51</v>
      </c>
      <c r="E104" s="5" t="s">
        <v>52</v>
      </c>
      <c r="F104" s="5" t="s">
        <v>52</v>
      </c>
      <c r="G104" s="10" t="s">
        <v>6</v>
      </c>
      <c r="H104" s="5" t="s">
        <v>272</v>
      </c>
    </row>
    <row r="105" customFormat="false" ht="15" hidden="false" customHeight="false" outlineLevel="0" collapsed="false">
      <c r="A105" s="5" t="s">
        <v>20</v>
      </c>
      <c r="B105" s="5" t="s">
        <v>273</v>
      </c>
      <c r="C105" s="5" t="s">
        <v>257</v>
      </c>
      <c r="D105" s="5" t="s">
        <v>51</v>
      </c>
      <c r="E105" s="5" t="s">
        <v>52</v>
      </c>
      <c r="F105" s="5" t="s">
        <v>52</v>
      </c>
      <c r="G105" s="10" t="s">
        <v>6</v>
      </c>
      <c r="H105" s="5" t="s">
        <v>274</v>
      </c>
    </row>
    <row r="106" customFormat="false" ht="15" hidden="false" customHeight="false" outlineLevel="0" collapsed="false">
      <c r="A106" s="5" t="s">
        <v>20</v>
      </c>
      <c r="B106" s="5" t="s">
        <v>275</v>
      </c>
      <c r="C106" s="5" t="s">
        <v>276</v>
      </c>
      <c r="D106" s="5" t="s">
        <v>52</v>
      </c>
      <c r="E106" s="5" t="s">
        <v>52</v>
      </c>
      <c r="F106" s="5" t="s">
        <v>52</v>
      </c>
      <c r="G106" s="13" t="s">
        <v>5</v>
      </c>
      <c r="H106" s="5" t="s">
        <v>277</v>
      </c>
    </row>
    <row r="107" customFormat="false" ht="15" hidden="false" customHeight="false" outlineLevel="0" collapsed="false">
      <c r="A107" s="5" t="s">
        <v>278</v>
      </c>
      <c r="B107" s="5" t="s">
        <v>279</v>
      </c>
      <c r="C107" s="5" t="s">
        <v>280</v>
      </c>
      <c r="D107" s="5" t="s">
        <v>51</v>
      </c>
      <c r="E107" s="5" t="s">
        <v>52</v>
      </c>
      <c r="F107" s="5" t="s">
        <v>52</v>
      </c>
      <c r="G107" s="10" t="s">
        <v>6</v>
      </c>
      <c r="H107" s="5" t="s">
        <v>281</v>
      </c>
    </row>
    <row r="108" customFormat="false" ht="15" hidden="false" customHeight="false" outlineLevel="0" collapsed="false">
      <c r="A108" s="5" t="s">
        <v>278</v>
      </c>
      <c r="B108" s="5" t="s">
        <v>282</v>
      </c>
      <c r="C108" s="5" t="s">
        <v>280</v>
      </c>
      <c r="D108" s="5" t="s">
        <v>51</v>
      </c>
      <c r="E108" s="5" t="s">
        <v>52</v>
      </c>
      <c r="F108" s="5" t="s">
        <v>52</v>
      </c>
      <c r="G108" s="10" t="s">
        <v>6</v>
      </c>
      <c r="H108" s="5" t="s">
        <v>283</v>
      </c>
    </row>
    <row r="109" customFormat="false" ht="15" hidden="false" customHeight="false" outlineLevel="0" collapsed="false">
      <c r="A109" s="5" t="s">
        <v>278</v>
      </c>
      <c r="B109" s="5" t="s">
        <v>284</v>
      </c>
      <c r="C109" s="5" t="s">
        <v>280</v>
      </c>
      <c r="D109" s="5" t="s">
        <v>51</v>
      </c>
      <c r="E109" s="5" t="s">
        <v>52</v>
      </c>
      <c r="F109" s="5" t="s">
        <v>52</v>
      </c>
      <c r="G109" s="10" t="s">
        <v>6</v>
      </c>
      <c r="H109" s="5" t="s">
        <v>285</v>
      </c>
    </row>
    <row r="110" customFormat="false" ht="15" hidden="false" customHeight="false" outlineLevel="0" collapsed="false">
      <c r="A110" s="5" t="s">
        <v>278</v>
      </c>
      <c r="B110" s="5" t="s">
        <v>286</v>
      </c>
      <c r="C110" s="5" t="s">
        <v>280</v>
      </c>
      <c r="D110" s="5" t="s">
        <v>51</v>
      </c>
      <c r="E110" s="5" t="s">
        <v>52</v>
      </c>
      <c r="F110" s="5" t="s">
        <v>52</v>
      </c>
      <c r="G110" s="10" t="s">
        <v>6</v>
      </c>
      <c r="H110" s="5" t="s">
        <v>287</v>
      </c>
    </row>
    <row r="111" customFormat="false" ht="15" hidden="false" customHeight="false" outlineLevel="0" collapsed="false">
      <c r="A111" s="5" t="s">
        <v>278</v>
      </c>
      <c r="B111" s="5" t="s">
        <v>288</v>
      </c>
      <c r="C111" s="5" t="s">
        <v>280</v>
      </c>
      <c r="D111" s="5" t="s">
        <v>51</v>
      </c>
      <c r="E111" s="5" t="s">
        <v>52</v>
      </c>
      <c r="F111" s="5" t="s">
        <v>52</v>
      </c>
      <c r="G111" s="10" t="s">
        <v>6</v>
      </c>
      <c r="H111" s="5" t="s">
        <v>289</v>
      </c>
    </row>
    <row r="112" customFormat="false" ht="15" hidden="false" customHeight="false" outlineLevel="0" collapsed="false">
      <c r="A112" s="5" t="s">
        <v>278</v>
      </c>
      <c r="B112" s="5" t="s">
        <v>290</v>
      </c>
      <c r="C112" s="5" t="s">
        <v>280</v>
      </c>
      <c r="D112" s="5" t="s">
        <v>51</v>
      </c>
      <c r="E112" s="5" t="s">
        <v>52</v>
      </c>
      <c r="F112" s="5" t="s">
        <v>52</v>
      </c>
      <c r="G112" s="10" t="s">
        <v>6</v>
      </c>
      <c r="H112" s="5" t="s">
        <v>291</v>
      </c>
    </row>
    <row r="113" customFormat="false" ht="15" hidden="false" customHeight="false" outlineLevel="0" collapsed="false">
      <c r="A113" s="5" t="s">
        <v>278</v>
      </c>
      <c r="B113" s="5" t="s">
        <v>292</v>
      </c>
      <c r="C113" s="5" t="s">
        <v>280</v>
      </c>
      <c r="D113" s="5" t="s">
        <v>51</v>
      </c>
      <c r="E113" s="5" t="s">
        <v>52</v>
      </c>
      <c r="F113" s="5" t="s">
        <v>52</v>
      </c>
      <c r="G113" s="10" t="s">
        <v>6</v>
      </c>
      <c r="H113" s="5" t="s">
        <v>293</v>
      </c>
    </row>
    <row r="114" customFormat="false" ht="15" hidden="false" customHeight="false" outlineLevel="0" collapsed="false">
      <c r="A114" s="5" t="s">
        <v>278</v>
      </c>
      <c r="B114" s="5" t="s">
        <v>294</v>
      </c>
      <c r="C114" s="5" t="s">
        <v>7</v>
      </c>
      <c r="D114" s="5" t="s">
        <v>51</v>
      </c>
      <c r="E114" s="5" t="s">
        <v>52</v>
      </c>
      <c r="F114" s="5" t="s">
        <v>52</v>
      </c>
      <c r="G114" s="11" t="s">
        <v>7</v>
      </c>
      <c r="H114" s="5" t="s">
        <v>295</v>
      </c>
    </row>
    <row r="115" customFormat="false" ht="15" hidden="false" customHeight="false" outlineLevel="0" collapsed="false">
      <c r="A115" s="5" t="s">
        <v>22</v>
      </c>
      <c r="B115" s="5" t="s">
        <v>296</v>
      </c>
      <c r="C115" s="5" t="s">
        <v>7</v>
      </c>
      <c r="D115" s="5" t="s">
        <v>51</v>
      </c>
      <c r="E115" s="5" t="s">
        <v>52</v>
      </c>
      <c r="F115" s="5" t="s">
        <v>52</v>
      </c>
      <c r="G115" s="11" t="s">
        <v>7</v>
      </c>
      <c r="H115" s="5" t="s">
        <v>297</v>
      </c>
    </row>
    <row r="116" customFormat="false" ht="15" hidden="false" customHeight="false" outlineLevel="0" collapsed="false">
      <c r="A116" s="5" t="s">
        <v>22</v>
      </c>
      <c r="B116" s="5" t="s">
        <v>298</v>
      </c>
      <c r="C116" s="5" t="s">
        <v>7</v>
      </c>
      <c r="D116" s="5" t="s">
        <v>51</v>
      </c>
      <c r="E116" s="5" t="s">
        <v>52</v>
      </c>
      <c r="F116" s="5" t="s">
        <v>52</v>
      </c>
      <c r="G116" s="11" t="s">
        <v>7</v>
      </c>
      <c r="H116" s="5" t="s">
        <v>299</v>
      </c>
    </row>
    <row r="117" customFormat="false" ht="15" hidden="false" customHeight="false" outlineLevel="0" collapsed="false">
      <c r="A117" s="5" t="s">
        <v>22</v>
      </c>
      <c r="B117" s="5" t="s">
        <v>300</v>
      </c>
      <c r="C117" s="5" t="s">
        <v>7</v>
      </c>
      <c r="D117" s="5" t="s">
        <v>51</v>
      </c>
      <c r="E117" s="5" t="s">
        <v>52</v>
      </c>
      <c r="F117" s="5" t="s">
        <v>52</v>
      </c>
      <c r="G117" s="11" t="s">
        <v>7</v>
      </c>
      <c r="H117" s="5" t="s">
        <v>301</v>
      </c>
    </row>
    <row r="118" customFormat="false" ht="15" hidden="false" customHeight="false" outlineLevel="0" collapsed="false">
      <c r="A118" s="5" t="s">
        <v>22</v>
      </c>
      <c r="B118" s="5" t="s">
        <v>302</v>
      </c>
      <c r="C118" s="5" t="s">
        <v>276</v>
      </c>
      <c r="D118" s="5" t="s">
        <v>51</v>
      </c>
      <c r="E118" s="5" t="s">
        <v>52</v>
      </c>
      <c r="F118" s="5" t="s">
        <v>52</v>
      </c>
      <c r="G118" s="10" t="s">
        <v>6</v>
      </c>
      <c r="H118" s="5" t="s">
        <v>303</v>
      </c>
    </row>
    <row r="119" customFormat="false" ht="15" hidden="false" customHeight="false" outlineLevel="0" collapsed="false">
      <c r="A119" s="5" t="s">
        <v>22</v>
      </c>
      <c r="B119" s="5" t="s">
        <v>304</v>
      </c>
      <c r="C119" s="5" t="s">
        <v>7</v>
      </c>
      <c r="D119" s="5" t="s">
        <v>51</v>
      </c>
      <c r="E119" s="5" t="s">
        <v>52</v>
      </c>
      <c r="F119" s="5" t="s">
        <v>52</v>
      </c>
      <c r="G119" s="11" t="s">
        <v>7</v>
      </c>
      <c r="H119" s="5" t="s">
        <v>305</v>
      </c>
    </row>
    <row r="120" customFormat="false" ht="15" hidden="false" customHeight="false" outlineLevel="0" collapsed="false">
      <c r="A120" s="5" t="s">
        <v>23</v>
      </c>
      <c r="B120" s="5" t="s">
        <v>306</v>
      </c>
      <c r="C120" s="5" t="s">
        <v>307</v>
      </c>
      <c r="D120" s="5" t="s">
        <v>52</v>
      </c>
      <c r="E120" s="5" t="s">
        <v>52</v>
      </c>
      <c r="F120" s="5" t="s">
        <v>52</v>
      </c>
      <c r="G120" s="13" t="s">
        <v>5</v>
      </c>
      <c r="H120" s="5" t="s">
        <v>308</v>
      </c>
    </row>
    <row r="121" customFormat="false" ht="15" hidden="false" customHeight="false" outlineLevel="0" collapsed="false">
      <c r="A121" s="5" t="s">
        <v>23</v>
      </c>
      <c r="B121" s="5" t="s">
        <v>309</v>
      </c>
      <c r="C121" s="5" t="s">
        <v>307</v>
      </c>
      <c r="D121" s="5" t="s">
        <v>51</v>
      </c>
      <c r="E121" s="5" t="s">
        <v>52</v>
      </c>
      <c r="F121" s="5" t="s">
        <v>52</v>
      </c>
      <c r="G121" s="10" t="s">
        <v>6</v>
      </c>
      <c r="H121" s="5" t="s">
        <v>310</v>
      </c>
    </row>
    <row r="122" customFormat="false" ht="15" hidden="false" customHeight="false" outlineLevel="0" collapsed="false">
      <c r="A122" s="5" t="s">
        <v>23</v>
      </c>
      <c r="B122" s="5" t="s">
        <v>311</v>
      </c>
      <c r="C122" s="5" t="s">
        <v>307</v>
      </c>
      <c r="D122" s="5" t="s">
        <v>52</v>
      </c>
      <c r="E122" s="5" t="s">
        <v>52</v>
      </c>
      <c r="F122" s="5" t="s">
        <v>52</v>
      </c>
      <c r="G122" s="13" t="s">
        <v>5</v>
      </c>
      <c r="H122" s="5" t="s">
        <v>312</v>
      </c>
    </row>
    <row r="123" customFormat="false" ht="15" hidden="false" customHeight="false" outlineLevel="0" collapsed="false">
      <c r="A123" s="5" t="s">
        <v>23</v>
      </c>
      <c r="B123" s="5" t="s">
        <v>313</v>
      </c>
      <c r="C123" s="5" t="s">
        <v>307</v>
      </c>
      <c r="D123" s="5" t="s">
        <v>51</v>
      </c>
      <c r="E123" s="5" t="s">
        <v>52</v>
      </c>
      <c r="F123" s="5" t="s">
        <v>52</v>
      </c>
      <c r="G123" s="10" t="s">
        <v>6</v>
      </c>
      <c r="H123" s="5" t="s">
        <v>314</v>
      </c>
    </row>
    <row r="124" customFormat="false" ht="15" hidden="false" customHeight="false" outlineLevel="0" collapsed="false">
      <c r="A124" s="5" t="s">
        <v>23</v>
      </c>
      <c r="B124" s="5" t="s">
        <v>315</v>
      </c>
      <c r="C124" s="5" t="s">
        <v>316</v>
      </c>
      <c r="D124" s="5" t="s">
        <v>51</v>
      </c>
      <c r="E124" s="5" t="s">
        <v>52</v>
      </c>
      <c r="F124" s="5" t="s">
        <v>52</v>
      </c>
      <c r="G124" s="10" t="s">
        <v>6</v>
      </c>
      <c r="H124" s="5" t="s">
        <v>317</v>
      </c>
    </row>
    <row r="125" customFormat="false" ht="15" hidden="false" customHeight="false" outlineLevel="0" collapsed="false">
      <c r="A125" s="5" t="s">
        <v>24</v>
      </c>
      <c r="B125" s="5" t="s">
        <v>318</v>
      </c>
      <c r="C125" s="5" t="s">
        <v>319</v>
      </c>
      <c r="D125" s="5" t="s">
        <v>52</v>
      </c>
      <c r="E125" s="5" t="s">
        <v>52</v>
      </c>
      <c r="F125" s="5" t="s">
        <v>52</v>
      </c>
      <c r="G125" s="13" t="s">
        <v>5</v>
      </c>
      <c r="H125" s="5" t="s">
        <v>320</v>
      </c>
    </row>
    <row r="126" customFormat="false" ht="15" hidden="false" customHeight="false" outlineLevel="0" collapsed="false">
      <c r="A126" s="5" t="s">
        <v>24</v>
      </c>
      <c r="B126" s="5" t="s">
        <v>321</v>
      </c>
      <c r="C126" s="5" t="s">
        <v>322</v>
      </c>
      <c r="D126" s="5" t="s">
        <v>51</v>
      </c>
      <c r="E126" s="5" t="s">
        <v>52</v>
      </c>
      <c r="F126" s="5" t="s">
        <v>52</v>
      </c>
      <c r="G126" s="10" t="s">
        <v>6</v>
      </c>
      <c r="H126" s="5" t="s">
        <v>323</v>
      </c>
    </row>
    <row r="127" customFormat="false" ht="15" hidden="false" customHeight="false" outlineLevel="0" collapsed="false">
      <c r="A127" s="5" t="s">
        <v>24</v>
      </c>
      <c r="B127" s="5" t="s">
        <v>324</v>
      </c>
      <c r="C127" s="5" t="s">
        <v>325</v>
      </c>
      <c r="D127" s="5" t="s">
        <v>51</v>
      </c>
      <c r="E127" s="5" t="s">
        <v>52</v>
      </c>
      <c r="F127" s="5" t="s">
        <v>52</v>
      </c>
      <c r="G127" s="10" t="s">
        <v>6</v>
      </c>
      <c r="H127" s="5" t="s">
        <v>326</v>
      </c>
    </row>
    <row r="128" customFormat="false" ht="15" hidden="false" customHeight="false" outlineLevel="0" collapsed="false">
      <c r="A128" s="5" t="s">
        <v>24</v>
      </c>
      <c r="B128" s="5" t="s">
        <v>327</v>
      </c>
      <c r="C128" s="5" t="s">
        <v>322</v>
      </c>
      <c r="D128" s="5" t="s">
        <v>51</v>
      </c>
      <c r="E128" s="5" t="s">
        <v>52</v>
      </c>
      <c r="F128" s="5" t="s">
        <v>52</v>
      </c>
      <c r="G128" s="10" t="s">
        <v>6</v>
      </c>
      <c r="H128" s="5" t="s">
        <v>328</v>
      </c>
    </row>
    <row r="129" customFormat="false" ht="15" hidden="false" customHeight="false" outlineLevel="0" collapsed="false">
      <c r="A129" s="5" t="s">
        <v>24</v>
      </c>
      <c r="B129" s="5" t="s">
        <v>329</v>
      </c>
      <c r="C129" s="5" t="s">
        <v>322</v>
      </c>
      <c r="D129" s="5" t="s">
        <v>51</v>
      </c>
      <c r="E129" s="5" t="s">
        <v>52</v>
      </c>
      <c r="F129" s="5" t="s">
        <v>52</v>
      </c>
      <c r="G129" s="10" t="s">
        <v>6</v>
      </c>
      <c r="H129" s="5" t="s">
        <v>328</v>
      </c>
    </row>
    <row r="130" customFormat="false" ht="15" hidden="false" customHeight="false" outlineLevel="0" collapsed="false">
      <c r="A130" s="5" t="s">
        <v>24</v>
      </c>
      <c r="B130" s="5" t="s">
        <v>330</v>
      </c>
      <c r="C130" s="5" t="s">
        <v>322</v>
      </c>
      <c r="D130" s="5" t="s">
        <v>51</v>
      </c>
      <c r="E130" s="5" t="s">
        <v>52</v>
      </c>
      <c r="F130" s="5" t="s">
        <v>52</v>
      </c>
      <c r="G130" s="10" t="s">
        <v>6</v>
      </c>
      <c r="H130" s="5" t="s">
        <v>328</v>
      </c>
    </row>
    <row r="131" customFormat="false" ht="15" hidden="false" customHeight="false" outlineLevel="0" collapsed="false">
      <c r="A131" s="5" t="s">
        <v>24</v>
      </c>
      <c r="B131" s="5" t="s">
        <v>331</v>
      </c>
      <c r="C131" s="5" t="s">
        <v>325</v>
      </c>
      <c r="D131" s="5" t="s">
        <v>51</v>
      </c>
      <c r="E131" s="5" t="s">
        <v>52</v>
      </c>
      <c r="F131" s="5" t="s">
        <v>52</v>
      </c>
      <c r="G131" s="10" t="s">
        <v>6</v>
      </c>
      <c r="H131" s="5" t="s">
        <v>180</v>
      </c>
    </row>
    <row r="132" customFormat="false" ht="15" hidden="false" customHeight="false" outlineLevel="0" collapsed="false">
      <c r="A132" s="5" t="s">
        <v>24</v>
      </c>
      <c r="B132" s="5" t="s">
        <v>332</v>
      </c>
      <c r="C132" s="5" t="s">
        <v>325</v>
      </c>
      <c r="D132" s="5" t="s">
        <v>51</v>
      </c>
      <c r="E132" s="5" t="s">
        <v>52</v>
      </c>
      <c r="F132" s="5" t="s">
        <v>66</v>
      </c>
      <c r="G132" s="10" t="s">
        <v>6</v>
      </c>
      <c r="H132" s="5" t="s">
        <v>333</v>
      </c>
    </row>
    <row r="133" customFormat="false" ht="15" hidden="false" customHeight="false" outlineLevel="0" collapsed="false">
      <c r="A133" s="5" t="s">
        <v>334</v>
      </c>
      <c r="B133" s="5" t="s">
        <v>335</v>
      </c>
      <c r="C133" s="5" t="s">
        <v>336</v>
      </c>
      <c r="D133" s="5" t="s">
        <v>51</v>
      </c>
      <c r="E133" s="5" t="s">
        <v>52</v>
      </c>
      <c r="F133" s="5" t="s">
        <v>52</v>
      </c>
      <c r="G133" s="10" t="s">
        <v>6</v>
      </c>
      <c r="H133" s="5" t="s">
        <v>337</v>
      </c>
    </row>
    <row r="134" customFormat="false" ht="15" hidden="false" customHeight="false" outlineLevel="0" collapsed="false">
      <c r="A134" s="5" t="s">
        <v>334</v>
      </c>
      <c r="B134" s="5" t="s">
        <v>338</v>
      </c>
      <c r="C134" s="5" t="s">
        <v>7</v>
      </c>
      <c r="D134" s="5" t="s">
        <v>51</v>
      </c>
      <c r="E134" s="5" t="s">
        <v>52</v>
      </c>
      <c r="F134" s="5" t="s">
        <v>52</v>
      </c>
      <c r="G134" s="11" t="s">
        <v>7</v>
      </c>
      <c r="H134" s="5" t="s">
        <v>339</v>
      </c>
    </row>
    <row r="135" customFormat="false" ht="15" hidden="false" customHeight="false" outlineLevel="0" collapsed="false">
      <c r="A135" s="5" t="s">
        <v>334</v>
      </c>
      <c r="B135" s="5" t="s">
        <v>340</v>
      </c>
      <c r="C135" s="5" t="s">
        <v>7</v>
      </c>
      <c r="D135" s="5" t="s">
        <v>51</v>
      </c>
      <c r="E135" s="5" t="s">
        <v>52</v>
      </c>
      <c r="F135" s="5" t="s">
        <v>52</v>
      </c>
      <c r="G135" s="11" t="s">
        <v>7</v>
      </c>
      <c r="H135" s="5" t="s">
        <v>341</v>
      </c>
    </row>
    <row r="136" customFormat="false" ht="15" hidden="false" customHeight="false" outlineLevel="0" collapsed="false">
      <c r="A136" s="5" t="s">
        <v>334</v>
      </c>
      <c r="B136" s="5" t="s">
        <v>342</v>
      </c>
      <c r="C136" s="5" t="s">
        <v>7</v>
      </c>
      <c r="D136" s="5" t="s">
        <v>51</v>
      </c>
      <c r="E136" s="5" t="s">
        <v>52</v>
      </c>
      <c r="F136" s="5" t="s">
        <v>52</v>
      </c>
      <c r="G136" s="11" t="s">
        <v>7</v>
      </c>
      <c r="H136" s="5" t="s">
        <v>343</v>
      </c>
    </row>
    <row r="137" customFormat="false" ht="15" hidden="false" customHeight="false" outlineLevel="0" collapsed="false">
      <c r="A137" s="5" t="s">
        <v>334</v>
      </c>
      <c r="B137" s="5" t="s">
        <v>344</v>
      </c>
      <c r="C137" s="5" t="s">
        <v>7</v>
      </c>
      <c r="D137" s="5" t="s">
        <v>51</v>
      </c>
      <c r="E137" s="5" t="s">
        <v>52</v>
      </c>
      <c r="F137" s="5" t="s">
        <v>52</v>
      </c>
      <c r="G137" s="11" t="s">
        <v>7</v>
      </c>
      <c r="H137" s="5" t="s">
        <v>345</v>
      </c>
    </row>
    <row r="138" customFormat="false" ht="15" hidden="false" customHeight="false" outlineLevel="0" collapsed="false">
      <c r="A138" s="5" t="s">
        <v>334</v>
      </c>
      <c r="B138" s="5" t="s">
        <v>346</v>
      </c>
      <c r="C138" s="5" t="s">
        <v>7</v>
      </c>
      <c r="D138" s="5" t="s">
        <v>51</v>
      </c>
      <c r="E138" s="5" t="s">
        <v>52</v>
      </c>
      <c r="F138" s="5" t="s">
        <v>52</v>
      </c>
      <c r="G138" s="11" t="s">
        <v>7</v>
      </c>
      <c r="H138" s="5" t="s">
        <v>204</v>
      </c>
    </row>
    <row r="139" customFormat="false" ht="15" hidden="false" customHeight="false" outlineLevel="0" collapsed="false">
      <c r="A139" s="5" t="s">
        <v>334</v>
      </c>
      <c r="B139" s="5" t="s">
        <v>347</v>
      </c>
      <c r="C139" s="5" t="s">
        <v>336</v>
      </c>
      <c r="D139" s="5" t="s">
        <v>51</v>
      </c>
      <c r="E139" s="5" t="s">
        <v>52</v>
      </c>
      <c r="F139" s="5" t="s">
        <v>52</v>
      </c>
      <c r="G139" s="10" t="s">
        <v>6</v>
      </c>
      <c r="H139" s="5" t="s">
        <v>348</v>
      </c>
    </row>
    <row r="140" customFormat="false" ht="15" hidden="false" customHeight="false" outlineLevel="0" collapsed="false">
      <c r="A140" s="5" t="s">
        <v>334</v>
      </c>
      <c r="B140" s="5" t="s">
        <v>349</v>
      </c>
      <c r="C140" s="5" t="s">
        <v>336</v>
      </c>
      <c r="D140" s="5" t="s">
        <v>51</v>
      </c>
      <c r="E140" s="5" t="s">
        <v>52</v>
      </c>
      <c r="F140" s="5" t="s">
        <v>52</v>
      </c>
      <c r="G140" s="10" t="s">
        <v>6</v>
      </c>
      <c r="H140" s="5" t="s">
        <v>350</v>
      </c>
    </row>
    <row r="141" customFormat="false" ht="15" hidden="false" customHeight="false" outlineLevel="0" collapsed="false">
      <c r="A141" s="5" t="s">
        <v>27</v>
      </c>
      <c r="B141" s="5" t="s">
        <v>351</v>
      </c>
      <c r="C141" s="5" t="s">
        <v>352</v>
      </c>
      <c r="D141" s="5" t="s">
        <v>51</v>
      </c>
      <c r="E141" s="5" t="s">
        <v>52</v>
      </c>
      <c r="F141" s="5" t="s">
        <v>52</v>
      </c>
      <c r="G141" s="10" t="s">
        <v>6</v>
      </c>
      <c r="H141" s="5" t="s">
        <v>353</v>
      </c>
    </row>
    <row r="142" customFormat="false" ht="15" hidden="false" customHeight="false" outlineLevel="0" collapsed="false">
      <c r="A142" s="5" t="s">
        <v>27</v>
      </c>
      <c r="B142" s="5" t="s">
        <v>354</v>
      </c>
      <c r="C142" s="5" t="s">
        <v>352</v>
      </c>
      <c r="D142" s="5" t="s">
        <v>51</v>
      </c>
      <c r="E142" s="5" t="s">
        <v>52</v>
      </c>
      <c r="F142" s="5" t="s">
        <v>52</v>
      </c>
      <c r="G142" s="10" t="s">
        <v>6</v>
      </c>
      <c r="H142" s="5" t="s">
        <v>355</v>
      </c>
    </row>
    <row r="143" customFormat="false" ht="15" hidden="false" customHeight="false" outlineLevel="0" collapsed="false">
      <c r="A143" s="5" t="s">
        <v>27</v>
      </c>
      <c r="B143" s="5" t="s">
        <v>356</v>
      </c>
      <c r="C143" s="5" t="s">
        <v>352</v>
      </c>
      <c r="D143" s="5" t="s">
        <v>51</v>
      </c>
      <c r="E143" s="5" t="s">
        <v>52</v>
      </c>
      <c r="F143" s="5" t="s">
        <v>52</v>
      </c>
      <c r="G143" s="10" t="s">
        <v>6</v>
      </c>
      <c r="H143" s="5" t="s">
        <v>357</v>
      </c>
    </row>
    <row r="144" customFormat="false" ht="15" hidden="false" customHeight="false" outlineLevel="0" collapsed="false">
      <c r="A144" s="5" t="s">
        <v>27</v>
      </c>
      <c r="B144" s="5" t="s">
        <v>358</v>
      </c>
      <c r="C144" s="5" t="s">
        <v>352</v>
      </c>
      <c r="D144" s="5" t="s">
        <v>51</v>
      </c>
      <c r="E144" s="5" t="s">
        <v>52</v>
      </c>
      <c r="F144" s="5" t="s">
        <v>52</v>
      </c>
      <c r="G144" s="10" t="s">
        <v>6</v>
      </c>
      <c r="H144" s="5" t="s">
        <v>357</v>
      </c>
    </row>
    <row r="145" customFormat="false" ht="15" hidden="false" customHeight="false" outlineLevel="0" collapsed="false">
      <c r="A145" s="5" t="s">
        <v>27</v>
      </c>
      <c r="B145" s="5" t="s">
        <v>359</v>
      </c>
      <c r="C145" s="5" t="s">
        <v>360</v>
      </c>
      <c r="D145" s="5" t="s">
        <v>51</v>
      </c>
      <c r="E145" s="5" t="s">
        <v>52</v>
      </c>
      <c r="F145" s="5" t="s">
        <v>52</v>
      </c>
      <c r="G145" s="10" t="s">
        <v>6</v>
      </c>
      <c r="H145" s="5" t="s">
        <v>361</v>
      </c>
    </row>
    <row r="146" customFormat="false" ht="15" hidden="false" customHeight="false" outlineLevel="0" collapsed="false">
      <c r="A146" s="5" t="s">
        <v>27</v>
      </c>
      <c r="B146" s="5" t="s">
        <v>153</v>
      </c>
      <c r="C146" s="5" t="s">
        <v>362</v>
      </c>
      <c r="D146" s="5" t="s">
        <v>51</v>
      </c>
      <c r="E146" s="5" t="s">
        <v>52</v>
      </c>
      <c r="F146" s="5" t="s">
        <v>52</v>
      </c>
      <c r="G146" s="10" t="s">
        <v>6</v>
      </c>
      <c r="H146" s="5" t="s">
        <v>363</v>
      </c>
    </row>
    <row r="147" customFormat="false" ht="15" hidden="false" customHeight="false" outlineLevel="0" collapsed="false">
      <c r="A147" s="5" t="s">
        <v>27</v>
      </c>
      <c r="B147" s="5" t="s">
        <v>364</v>
      </c>
      <c r="C147" s="5" t="s">
        <v>7</v>
      </c>
      <c r="D147" s="5" t="s">
        <v>51</v>
      </c>
      <c r="E147" s="5" t="s">
        <v>52</v>
      </c>
      <c r="F147" s="5" t="s">
        <v>52</v>
      </c>
      <c r="G147" s="11" t="s">
        <v>7</v>
      </c>
      <c r="H147" s="5" t="s">
        <v>365</v>
      </c>
    </row>
    <row r="148" customFormat="false" ht="15" hidden="false" customHeight="false" outlineLevel="0" collapsed="false">
      <c r="A148" s="5" t="s">
        <v>27</v>
      </c>
      <c r="B148" s="5" t="s">
        <v>366</v>
      </c>
      <c r="C148" s="5" t="s">
        <v>352</v>
      </c>
      <c r="D148" s="5" t="s">
        <v>51</v>
      </c>
      <c r="E148" s="5" t="s">
        <v>52</v>
      </c>
      <c r="F148" s="5" t="s">
        <v>52</v>
      </c>
      <c r="G148" s="10" t="s">
        <v>6</v>
      </c>
      <c r="H148" s="5" t="s">
        <v>367</v>
      </c>
    </row>
    <row r="149" customFormat="false" ht="15" hidden="false" customHeight="false" outlineLevel="0" collapsed="false">
      <c r="A149" s="5" t="s">
        <v>28</v>
      </c>
      <c r="B149" s="5" t="s">
        <v>368</v>
      </c>
      <c r="C149" s="5" t="s">
        <v>369</v>
      </c>
      <c r="D149" s="5" t="s">
        <v>51</v>
      </c>
      <c r="E149" s="5" t="s">
        <v>52</v>
      </c>
      <c r="F149" s="5" t="s">
        <v>52</v>
      </c>
      <c r="G149" s="10" t="s">
        <v>6</v>
      </c>
      <c r="H149" s="5" t="s">
        <v>370</v>
      </c>
    </row>
    <row r="150" customFormat="false" ht="15" hidden="false" customHeight="false" outlineLevel="0" collapsed="false">
      <c r="A150" s="5" t="s">
        <v>28</v>
      </c>
      <c r="B150" s="5" t="s">
        <v>371</v>
      </c>
      <c r="C150" s="5" t="s">
        <v>372</v>
      </c>
      <c r="D150" s="5" t="s">
        <v>51</v>
      </c>
      <c r="E150" s="5" t="s">
        <v>52</v>
      </c>
      <c r="F150" s="5" t="s">
        <v>52</v>
      </c>
      <c r="G150" s="10" t="s">
        <v>6</v>
      </c>
      <c r="H150" s="5" t="s">
        <v>93</v>
      </c>
    </row>
    <row r="151" customFormat="false" ht="15" hidden="false" customHeight="false" outlineLevel="0" collapsed="false">
      <c r="A151" s="5" t="s">
        <v>28</v>
      </c>
      <c r="B151" s="5" t="s">
        <v>373</v>
      </c>
      <c r="C151" s="5" t="s">
        <v>369</v>
      </c>
      <c r="D151" s="5" t="s">
        <v>51</v>
      </c>
      <c r="E151" s="5" t="s">
        <v>52</v>
      </c>
      <c r="F151" s="5" t="s">
        <v>52</v>
      </c>
      <c r="G151" s="10" t="s">
        <v>6</v>
      </c>
      <c r="H151" s="5" t="s">
        <v>180</v>
      </c>
    </row>
    <row r="152" customFormat="false" ht="15" hidden="false" customHeight="false" outlineLevel="0" collapsed="false">
      <c r="A152" s="5" t="s">
        <v>28</v>
      </c>
      <c r="B152" s="5" t="s">
        <v>374</v>
      </c>
      <c r="C152" s="5" t="s">
        <v>369</v>
      </c>
      <c r="D152" s="5" t="s">
        <v>51</v>
      </c>
      <c r="E152" s="5" t="s">
        <v>52</v>
      </c>
      <c r="F152" s="5" t="s">
        <v>52</v>
      </c>
      <c r="G152" s="10" t="s">
        <v>6</v>
      </c>
      <c r="H152" s="5" t="s">
        <v>375</v>
      </c>
    </row>
    <row r="153" customFormat="false" ht="15" hidden="false" customHeight="false" outlineLevel="0" collapsed="false">
      <c r="A153" s="5" t="s">
        <v>28</v>
      </c>
      <c r="B153" s="5" t="s">
        <v>376</v>
      </c>
      <c r="C153" s="5" t="s">
        <v>369</v>
      </c>
      <c r="D153" s="5" t="s">
        <v>51</v>
      </c>
      <c r="E153" s="5" t="s">
        <v>52</v>
      </c>
      <c r="F153" s="5" t="s">
        <v>52</v>
      </c>
      <c r="G153" s="10" t="s">
        <v>6</v>
      </c>
      <c r="H153" s="5" t="s">
        <v>377</v>
      </c>
    </row>
    <row r="154" customFormat="false" ht="15" hidden="false" customHeight="false" outlineLevel="0" collapsed="false">
      <c r="A154" s="5" t="s">
        <v>28</v>
      </c>
      <c r="B154" s="5" t="s">
        <v>378</v>
      </c>
      <c r="C154" s="5" t="s">
        <v>7</v>
      </c>
      <c r="D154" s="5" t="s">
        <v>51</v>
      </c>
      <c r="E154" s="5" t="s">
        <v>52</v>
      </c>
      <c r="F154" s="5" t="s">
        <v>52</v>
      </c>
      <c r="G154" s="11" t="s">
        <v>7</v>
      </c>
      <c r="H154" s="5" t="s">
        <v>379</v>
      </c>
    </row>
    <row r="155" customFormat="false" ht="15" hidden="false" customHeight="false" outlineLevel="0" collapsed="false">
      <c r="A155" s="5" t="s">
        <v>28</v>
      </c>
      <c r="B155" s="5" t="s">
        <v>380</v>
      </c>
      <c r="C155" s="5" t="s">
        <v>7</v>
      </c>
      <c r="D155" s="5" t="s">
        <v>51</v>
      </c>
      <c r="E155" s="5" t="s">
        <v>52</v>
      </c>
      <c r="F155" s="5" t="s">
        <v>52</v>
      </c>
      <c r="G155" s="11" t="s">
        <v>7</v>
      </c>
      <c r="H155" s="5" t="s">
        <v>381</v>
      </c>
    </row>
    <row r="156" customFormat="false" ht="15" hidden="false" customHeight="false" outlineLevel="0" collapsed="false">
      <c r="A156" s="5" t="s">
        <v>28</v>
      </c>
      <c r="B156" s="5" t="s">
        <v>382</v>
      </c>
      <c r="C156" s="5" t="s">
        <v>7</v>
      </c>
      <c r="D156" s="5" t="s">
        <v>51</v>
      </c>
      <c r="E156" s="5" t="s">
        <v>51</v>
      </c>
      <c r="F156" s="5" t="s">
        <v>51</v>
      </c>
      <c r="G156" s="11" t="s">
        <v>7</v>
      </c>
      <c r="H156" s="5" t="s">
        <v>383</v>
      </c>
    </row>
    <row r="157" customFormat="false" ht="15" hidden="false" customHeight="false" outlineLevel="0" collapsed="false">
      <c r="A157" s="5" t="s">
        <v>29</v>
      </c>
      <c r="B157" s="5" t="s">
        <v>384</v>
      </c>
      <c r="C157" s="5" t="s">
        <v>385</v>
      </c>
      <c r="D157" s="5" t="s">
        <v>51</v>
      </c>
      <c r="E157" s="5" t="s">
        <v>52</v>
      </c>
      <c r="F157" s="5" t="s">
        <v>52</v>
      </c>
      <c r="G157" s="10" t="s">
        <v>6</v>
      </c>
      <c r="H157" s="5" t="s">
        <v>386</v>
      </c>
    </row>
    <row r="158" customFormat="false" ht="15" hidden="false" customHeight="false" outlineLevel="0" collapsed="false">
      <c r="A158" s="5" t="s">
        <v>29</v>
      </c>
      <c r="B158" s="5" t="s">
        <v>387</v>
      </c>
      <c r="C158" s="5" t="s">
        <v>388</v>
      </c>
      <c r="D158" s="5" t="s">
        <v>51</v>
      </c>
      <c r="E158" s="5" t="s">
        <v>52</v>
      </c>
      <c r="F158" s="5" t="s">
        <v>52</v>
      </c>
      <c r="G158" s="10" t="s">
        <v>6</v>
      </c>
      <c r="H158" s="5" t="s">
        <v>389</v>
      </c>
    </row>
    <row r="159" customFormat="false" ht="15" hidden="false" customHeight="false" outlineLevel="0" collapsed="false">
      <c r="A159" s="5" t="s">
        <v>29</v>
      </c>
      <c r="B159" s="5" t="s">
        <v>390</v>
      </c>
      <c r="C159" s="5" t="s">
        <v>7</v>
      </c>
      <c r="D159" s="5" t="s">
        <v>51</v>
      </c>
      <c r="E159" s="5" t="s">
        <v>52</v>
      </c>
      <c r="F159" s="5" t="s">
        <v>52</v>
      </c>
      <c r="G159" s="11" t="s">
        <v>7</v>
      </c>
      <c r="H159" s="5" t="s">
        <v>391</v>
      </c>
    </row>
    <row r="160" customFormat="false" ht="15" hidden="false" customHeight="false" outlineLevel="0" collapsed="false">
      <c r="A160" s="5" t="s">
        <v>29</v>
      </c>
      <c r="B160" s="5" t="s">
        <v>392</v>
      </c>
      <c r="C160" s="5" t="s">
        <v>7</v>
      </c>
      <c r="D160" s="5" t="s">
        <v>51</v>
      </c>
      <c r="E160" s="5" t="s">
        <v>52</v>
      </c>
      <c r="F160" s="5" t="s">
        <v>52</v>
      </c>
      <c r="G160" s="11" t="s">
        <v>7</v>
      </c>
      <c r="H160" s="5" t="s">
        <v>393</v>
      </c>
    </row>
    <row r="161" customFormat="false" ht="15" hidden="false" customHeight="false" outlineLevel="0" collapsed="false">
      <c r="A161" s="5" t="s">
        <v>29</v>
      </c>
      <c r="B161" s="5" t="s">
        <v>394</v>
      </c>
      <c r="C161" s="5" t="s">
        <v>7</v>
      </c>
      <c r="D161" s="5" t="s">
        <v>51</v>
      </c>
      <c r="E161" s="5" t="s">
        <v>52</v>
      </c>
      <c r="F161" s="5" t="s">
        <v>52</v>
      </c>
      <c r="G161" s="11" t="s">
        <v>7</v>
      </c>
      <c r="H161" s="5" t="s">
        <v>395</v>
      </c>
    </row>
    <row r="162" customFormat="false" ht="15" hidden="false" customHeight="false" outlineLevel="0" collapsed="false">
      <c r="A162" s="5" t="s">
        <v>29</v>
      </c>
      <c r="B162" s="5" t="s">
        <v>396</v>
      </c>
      <c r="C162" s="5" t="s">
        <v>7</v>
      </c>
      <c r="D162" s="5" t="s">
        <v>51</v>
      </c>
      <c r="E162" s="5" t="s">
        <v>52</v>
      </c>
      <c r="F162" s="5" t="s">
        <v>52</v>
      </c>
      <c r="G162" s="11" t="s">
        <v>7</v>
      </c>
      <c r="H162" s="5" t="s">
        <v>204</v>
      </c>
    </row>
    <row r="163" customFormat="false" ht="15" hidden="false" customHeight="false" outlineLevel="0" collapsed="false">
      <c r="A163" s="5" t="s">
        <v>29</v>
      </c>
      <c r="B163" s="5" t="s">
        <v>397</v>
      </c>
      <c r="C163" s="5" t="s">
        <v>385</v>
      </c>
      <c r="D163" s="5" t="s">
        <v>51</v>
      </c>
      <c r="E163" s="5" t="s">
        <v>52</v>
      </c>
      <c r="F163" s="5" t="s">
        <v>52</v>
      </c>
      <c r="G163" s="10" t="s">
        <v>6</v>
      </c>
      <c r="H163" s="5" t="s">
        <v>398</v>
      </c>
    </row>
    <row r="164" customFormat="false" ht="15" hidden="false" customHeight="false" outlineLevel="0" collapsed="false">
      <c r="A164" s="5" t="s">
        <v>29</v>
      </c>
      <c r="B164" s="5" t="s">
        <v>399</v>
      </c>
      <c r="C164" s="5" t="s">
        <v>385</v>
      </c>
      <c r="D164" s="5" t="s">
        <v>51</v>
      </c>
      <c r="E164" s="5" t="s">
        <v>52</v>
      </c>
      <c r="F164" s="5" t="s">
        <v>52</v>
      </c>
      <c r="G164" s="10" t="s">
        <v>6</v>
      </c>
      <c r="H164" s="5" t="s">
        <v>400</v>
      </c>
    </row>
    <row r="165" customFormat="false" ht="15" hidden="false" customHeight="false" outlineLevel="0" collapsed="false">
      <c r="A165" s="5" t="s">
        <v>29</v>
      </c>
      <c r="B165" s="5" t="s">
        <v>401</v>
      </c>
      <c r="C165" s="5" t="s">
        <v>388</v>
      </c>
      <c r="D165" s="5" t="s">
        <v>51</v>
      </c>
      <c r="E165" s="5" t="s">
        <v>51</v>
      </c>
      <c r="F165" s="5" t="s">
        <v>51</v>
      </c>
      <c r="G165" s="10" t="s">
        <v>6</v>
      </c>
      <c r="H165" s="5" t="s">
        <v>402</v>
      </c>
    </row>
    <row r="166" customFormat="false" ht="15" hidden="false" customHeight="false" outlineLevel="0" collapsed="false">
      <c r="A166" s="5" t="s">
        <v>29</v>
      </c>
      <c r="B166" s="5" t="s">
        <v>403</v>
      </c>
      <c r="C166" s="5" t="s">
        <v>388</v>
      </c>
      <c r="D166" s="5" t="s">
        <v>51</v>
      </c>
      <c r="E166" s="5" t="s">
        <v>52</v>
      </c>
      <c r="F166" s="5" t="s">
        <v>52</v>
      </c>
      <c r="G166" s="10" t="s">
        <v>6</v>
      </c>
      <c r="H166" s="5" t="s">
        <v>404</v>
      </c>
    </row>
    <row r="167" customFormat="false" ht="15" hidden="false" customHeight="false" outlineLevel="0" collapsed="false">
      <c r="A167" s="5" t="s">
        <v>30</v>
      </c>
      <c r="B167" s="5" t="s">
        <v>405</v>
      </c>
      <c r="C167" s="5" t="s">
        <v>406</v>
      </c>
      <c r="D167" s="5" t="s">
        <v>52</v>
      </c>
      <c r="E167" s="5" t="s">
        <v>52</v>
      </c>
      <c r="F167" s="5" t="s">
        <v>52</v>
      </c>
      <c r="G167" s="13" t="s">
        <v>5</v>
      </c>
      <c r="H167" s="5" t="s">
        <v>407</v>
      </c>
    </row>
    <row r="168" customFormat="false" ht="15" hidden="false" customHeight="false" outlineLevel="0" collapsed="false">
      <c r="A168" s="5" t="s">
        <v>30</v>
      </c>
      <c r="B168" s="5" t="s">
        <v>408</v>
      </c>
      <c r="C168" s="5" t="s">
        <v>406</v>
      </c>
      <c r="D168" s="5" t="s">
        <v>52</v>
      </c>
      <c r="E168" s="5" t="s">
        <v>52</v>
      </c>
      <c r="F168" s="5" t="s">
        <v>52</v>
      </c>
      <c r="G168" s="13" t="s">
        <v>5</v>
      </c>
      <c r="H168" s="5" t="s">
        <v>409</v>
      </c>
    </row>
    <row r="169" customFormat="false" ht="15" hidden="false" customHeight="false" outlineLevel="0" collapsed="false">
      <c r="A169" s="5" t="s">
        <v>30</v>
      </c>
      <c r="B169" s="5" t="s">
        <v>410</v>
      </c>
      <c r="C169" s="5" t="s">
        <v>406</v>
      </c>
      <c r="D169" s="5" t="s">
        <v>52</v>
      </c>
      <c r="E169" s="5" t="s">
        <v>52</v>
      </c>
      <c r="F169" s="5" t="s">
        <v>52</v>
      </c>
      <c r="G169" s="13" t="s">
        <v>5</v>
      </c>
      <c r="H169" s="5" t="s">
        <v>411</v>
      </c>
    </row>
    <row r="170" customFormat="false" ht="15" hidden="false" customHeight="false" outlineLevel="0" collapsed="false">
      <c r="A170" s="5" t="s">
        <v>30</v>
      </c>
      <c r="B170" s="5" t="s">
        <v>412</v>
      </c>
      <c r="C170" s="5" t="s">
        <v>276</v>
      </c>
      <c r="D170" s="5" t="s">
        <v>52</v>
      </c>
      <c r="E170" s="5" t="s">
        <v>52</v>
      </c>
      <c r="F170" s="5" t="s">
        <v>52</v>
      </c>
      <c r="G170" s="12" t="s">
        <v>4</v>
      </c>
      <c r="H170" s="5" t="s">
        <v>413</v>
      </c>
    </row>
    <row r="171" customFormat="false" ht="15" hidden="false" customHeight="false" outlineLevel="0" collapsed="false">
      <c r="A171" s="5" t="s">
        <v>30</v>
      </c>
      <c r="B171" s="5" t="s">
        <v>414</v>
      </c>
      <c r="C171" s="5" t="s">
        <v>415</v>
      </c>
      <c r="D171" s="5" t="s">
        <v>51</v>
      </c>
      <c r="E171" s="5" t="s">
        <v>52</v>
      </c>
      <c r="F171" s="5" t="s">
        <v>52</v>
      </c>
      <c r="G171" s="10" t="s">
        <v>6</v>
      </c>
      <c r="H171" s="5" t="s">
        <v>416</v>
      </c>
    </row>
    <row r="172" customFormat="false" ht="15" hidden="false" customHeight="false" outlineLevel="0" collapsed="false">
      <c r="A172" s="5" t="s">
        <v>30</v>
      </c>
      <c r="B172" s="5" t="s">
        <v>417</v>
      </c>
      <c r="C172" s="5" t="s">
        <v>7</v>
      </c>
      <c r="D172" s="5" t="s">
        <v>51</v>
      </c>
      <c r="E172" s="5" t="s">
        <v>52</v>
      </c>
      <c r="F172" s="5" t="s">
        <v>52</v>
      </c>
      <c r="G172" s="10" t="s">
        <v>6</v>
      </c>
      <c r="H172" s="5" t="s">
        <v>418</v>
      </c>
    </row>
    <row r="173" customFormat="false" ht="15" hidden="false" customHeight="false" outlineLevel="0" collapsed="false">
      <c r="A173" s="5" t="s">
        <v>31</v>
      </c>
      <c r="B173" s="5" t="s">
        <v>419</v>
      </c>
      <c r="C173" s="5" t="s">
        <v>420</v>
      </c>
      <c r="D173" s="5" t="s">
        <v>51</v>
      </c>
      <c r="E173" s="5" t="s">
        <v>52</v>
      </c>
      <c r="F173" s="5" t="s">
        <v>66</v>
      </c>
      <c r="G173" s="10" t="s">
        <v>6</v>
      </c>
      <c r="H173" s="5" t="s">
        <v>421</v>
      </c>
    </row>
    <row r="174" customFormat="false" ht="15" hidden="false" customHeight="false" outlineLevel="0" collapsed="false">
      <c r="A174" s="5" t="s">
        <v>31</v>
      </c>
      <c r="B174" s="5" t="s">
        <v>422</v>
      </c>
      <c r="C174" s="5" t="s">
        <v>423</v>
      </c>
      <c r="D174" s="5" t="s">
        <v>51</v>
      </c>
      <c r="E174" s="5" t="s">
        <v>52</v>
      </c>
      <c r="F174" s="5" t="s">
        <v>52</v>
      </c>
      <c r="G174" s="10" t="s">
        <v>6</v>
      </c>
      <c r="H174" s="5" t="s">
        <v>424</v>
      </c>
    </row>
    <row r="175" customFormat="false" ht="15" hidden="false" customHeight="false" outlineLevel="0" collapsed="false">
      <c r="A175" s="5" t="s">
        <v>31</v>
      </c>
      <c r="B175" s="5" t="s">
        <v>425</v>
      </c>
      <c r="C175" s="5" t="s">
        <v>426</v>
      </c>
      <c r="D175" s="5" t="s">
        <v>51</v>
      </c>
      <c r="E175" s="5" t="s">
        <v>52</v>
      </c>
      <c r="F175" s="5" t="s">
        <v>52</v>
      </c>
      <c r="G175" s="10" t="s">
        <v>6</v>
      </c>
      <c r="H175" s="5" t="s">
        <v>424</v>
      </c>
    </row>
    <row r="176" customFormat="false" ht="15" hidden="false" customHeight="false" outlineLevel="0" collapsed="false">
      <c r="A176" s="5" t="s">
        <v>31</v>
      </c>
      <c r="B176" s="5" t="s">
        <v>427</v>
      </c>
      <c r="C176" s="5" t="s">
        <v>428</v>
      </c>
      <c r="D176" s="5" t="s">
        <v>51</v>
      </c>
      <c r="E176" s="5" t="s">
        <v>52</v>
      </c>
      <c r="F176" s="5" t="s">
        <v>52</v>
      </c>
      <c r="G176" s="10" t="s">
        <v>6</v>
      </c>
      <c r="H176" s="5" t="s">
        <v>424</v>
      </c>
    </row>
    <row r="177" customFormat="false" ht="15" hidden="false" customHeight="false" outlineLevel="0" collapsed="false">
      <c r="A177" s="5" t="s">
        <v>31</v>
      </c>
      <c r="B177" s="5" t="s">
        <v>429</v>
      </c>
      <c r="C177" s="5" t="s">
        <v>430</v>
      </c>
      <c r="D177" s="5" t="s">
        <v>51</v>
      </c>
      <c r="E177" s="5" t="s">
        <v>52</v>
      </c>
      <c r="F177" s="5" t="s">
        <v>52</v>
      </c>
      <c r="G177" s="10" t="s">
        <v>6</v>
      </c>
      <c r="H177" s="5" t="s">
        <v>424</v>
      </c>
    </row>
    <row r="178" customFormat="false" ht="15" hidden="false" customHeight="false" outlineLevel="0" collapsed="false">
      <c r="A178" s="5" t="s">
        <v>31</v>
      </c>
      <c r="B178" s="5" t="s">
        <v>431</v>
      </c>
      <c r="C178" s="5" t="s">
        <v>432</v>
      </c>
      <c r="D178" s="5" t="s">
        <v>51</v>
      </c>
      <c r="E178" s="5" t="s">
        <v>52</v>
      </c>
      <c r="F178" s="5" t="s">
        <v>52</v>
      </c>
      <c r="G178" s="10" t="s">
        <v>6</v>
      </c>
      <c r="H178" s="5" t="s">
        <v>424</v>
      </c>
    </row>
    <row r="179" customFormat="false" ht="15" hidden="false" customHeight="false" outlineLevel="0" collapsed="false">
      <c r="A179" s="5" t="s">
        <v>31</v>
      </c>
      <c r="B179" s="5" t="s">
        <v>433</v>
      </c>
      <c r="C179" s="5" t="s">
        <v>434</v>
      </c>
      <c r="D179" s="5" t="s">
        <v>51</v>
      </c>
      <c r="E179" s="5" t="s">
        <v>52</v>
      </c>
      <c r="F179" s="5" t="s">
        <v>52</v>
      </c>
      <c r="G179" s="10" t="s">
        <v>6</v>
      </c>
      <c r="H179" s="5" t="s">
        <v>424</v>
      </c>
    </row>
    <row r="180" customFormat="false" ht="15" hidden="false" customHeight="false" outlineLevel="0" collapsed="false">
      <c r="A180" s="5" t="s">
        <v>31</v>
      </c>
      <c r="B180" s="5" t="s">
        <v>435</v>
      </c>
      <c r="C180" s="5" t="s">
        <v>436</v>
      </c>
      <c r="D180" s="5" t="s">
        <v>51</v>
      </c>
      <c r="E180" s="5" t="s">
        <v>52</v>
      </c>
      <c r="F180" s="5" t="s">
        <v>52</v>
      </c>
      <c r="G180" s="10" t="s">
        <v>6</v>
      </c>
      <c r="H180" s="5" t="s">
        <v>424</v>
      </c>
    </row>
    <row r="181" customFormat="false" ht="15" hidden="false" customHeight="false" outlineLevel="0" collapsed="false">
      <c r="A181" s="5" t="s">
        <v>31</v>
      </c>
      <c r="B181" s="5" t="s">
        <v>437</v>
      </c>
      <c r="C181" s="5" t="s">
        <v>438</v>
      </c>
      <c r="D181" s="5" t="s">
        <v>51</v>
      </c>
      <c r="E181" s="5" t="s">
        <v>52</v>
      </c>
      <c r="F181" s="5" t="s">
        <v>52</v>
      </c>
      <c r="G181" s="10" t="s">
        <v>6</v>
      </c>
      <c r="H181" s="5" t="s">
        <v>424</v>
      </c>
    </row>
    <row r="182" customFormat="false" ht="15" hidden="false" customHeight="false" outlineLevel="0" collapsed="false">
      <c r="A182" s="5" t="s">
        <v>31</v>
      </c>
      <c r="B182" s="5" t="s">
        <v>439</v>
      </c>
      <c r="C182" s="5" t="s">
        <v>440</v>
      </c>
      <c r="D182" s="5" t="s">
        <v>51</v>
      </c>
      <c r="E182" s="5" t="s">
        <v>52</v>
      </c>
      <c r="F182" s="5" t="s">
        <v>52</v>
      </c>
      <c r="G182" s="10" t="s">
        <v>6</v>
      </c>
      <c r="H182" s="5" t="s">
        <v>424</v>
      </c>
    </row>
    <row r="183" customFormat="false" ht="15" hidden="false" customHeight="false" outlineLevel="0" collapsed="false">
      <c r="A183" s="5" t="s">
        <v>31</v>
      </c>
      <c r="B183" s="5" t="s">
        <v>441</v>
      </c>
      <c r="C183" s="5" t="s">
        <v>442</v>
      </c>
      <c r="D183" s="5" t="s">
        <v>51</v>
      </c>
      <c r="E183" s="5" t="s">
        <v>52</v>
      </c>
      <c r="F183" s="5" t="s">
        <v>52</v>
      </c>
      <c r="G183" s="10" t="s">
        <v>6</v>
      </c>
      <c r="H183" s="5" t="s">
        <v>424</v>
      </c>
    </row>
    <row r="184" customFormat="false" ht="15" hidden="false" customHeight="false" outlineLevel="0" collapsed="false">
      <c r="A184" s="5" t="s">
        <v>31</v>
      </c>
      <c r="B184" s="5" t="s">
        <v>443</v>
      </c>
      <c r="C184" s="5" t="s">
        <v>7</v>
      </c>
      <c r="D184" s="5" t="s">
        <v>51</v>
      </c>
      <c r="E184" s="5" t="s">
        <v>52</v>
      </c>
      <c r="F184" s="5" t="s">
        <v>66</v>
      </c>
      <c r="G184" s="11" t="s">
        <v>7</v>
      </c>
      <c r="H184" s="5" t="s">
        <v>444</v>
      </c>
    </row>
    <row r="185" customFormat="false" ht="15" hidden="false" customHeight="false" outlineLevel="0" collapsed="false">
      <c r="A185" s="5" t="s">
        <v>31</v>
      </c>
      <c r="B185" s="5" t="s">
        <v>445</v>
      </c>
      <c r="C185" s="5" t="s">
        <v>446</v>
      </c>
      <c r="D185" s="5" t="s">
        <v>51</v>
      </c>
      <c r="E185" s="5" t="s">
        <v>52</v>
      </c>
      <c r="F185" s="5" t="s">
        <v>52</v>
      </c>
      <c r="G185" s="10" t="s">
        <v>6</v>
      </c>
      <c r="H185" s="5" t="s">
        <v>424</v>
      </c>
    </row>
    <row r="186" customFormat="false" ht="15" hidden="false" customHeight="false" outlineLevel="0" collapsed="false">
      <c r="A186" s="5" t="s">
        <v>32</v>
      </c>
      <c r="B186" s="5" t="s">
        <v>447</v>
      </c>
      <c r="C186" s="5" t="s">
        <v>415</v>
      </c>
      <c r="D186" s="5" t="s">
        <v>51</v>
      </c>
      <c r="E186" s="5" t="s">
        <v>52</v>
      </c>
      <c r="F186" s="5" t="s">
        <v>52</v>
      </c>
      <c r="G186" s="10" t="s">
        <v>6</v>
      </c>
      <c r="H186" s="5" t="s">
        <v>448</v>
      </c>
    </row>
    <row r="187" customFormat="false" ht="15" hidden="false" customHeight="false" outlineLevel="0" collapsed="false">
      <c r="A187" s="5" t="s">
        <v>32</v>
      </c>
      <c r="B187" s="5" t="s">
        <v>449</v>
      </c>
      <c r="C187" s="5" t="s">
        <v>415</v>
      </c>
      <c r="D187" s="5" t="s">
        <v>51</v>
      </c>
      <c r="E187" s="5" t="s">
        <v>52</v>
      </c>
      <c r="F187" s="5" t="s">
        <v>52</v>
      </c>
      <c r="G187" s="10" t="s">
        <v>6</v>
      </c>
      <c r="H187" s="5" t="s">
        <v>357</v>
      </c>
    </row>
    <row r="188" customFormat="false" ht="15" hidden="false" customHeight="false" outlineLevel="0" collapsed="false">
      <c r="A188" s="5" t="s">
        <v>32</v>
      </c>
      <c r="B188" s="5" t="s">
        <v>450</v>
      </c>
      <c r="C188" s="5" t="s">
        <v>415</v>
      </c>
      <c r="D188" s="5" t="s">
        <v>51</v>
      </c>
      <c r="E188" s="5" t="s">
        <v>52</v>
      </c>
      <c r="F188" s="5" t="s">
        <v>52</v>
      </c>
      <c r="G188" s="10" t="s">
        <v>6</v>
      </c>
      <c r="H188" s="5" t="s">
        <v>357</v>
      </c>
    </row>
    <row r="189" customFormat="false" ht="15" hidden="false" customHeight="false" outlineLevel="0" collapsed="false">
      <c r="A189" s="5" t="s">
        <v>32</v>
      </c>
      <c r="B189" s="5" t="s">
        <v>451</v>
      </c>
      <c r="C189" s="5" t="s">
        <v>415</v>
      </c>
      <c r="D189" s="5" t="s">
        <v>51</v>
      </c>
      <c r="E189" s="5" t="s">
        <v>52</v>
      </c>
      <c r="F189" s="5" t="s">
        <v>52</v>
      </c>
      <c r="G189" s="10" t="s">
        <v>6</v>
      </c>
      <c r="H189" s="5" t="s">
        <v>357</v>
      </c>
    </row>
    <row r="190" customFormat="false" ht="15" hidden="false" customHeight="false" outlineLevel="0" collapsed="false">
      <c r="A190" s="5" t="s">
        <v>32</v>
      </c>
      <c r="B190" s="5" t="s">
        <v>452</v>
      </c>
      <c r="C190" s="5" t="s">
        <v>415</v>
      </c>
      <c r="D190" s="5" t="s">
        <v>51</v>
      </c>
      <c r="E190" s="5" t="s">
        <v>52</v>
      </c>
      <c r="F190" s="5" t="s">
        <v>52</v>
      </c>
      <c r="G190" s="10" t="s">
        <v>6</v>
      </c>
      <c r="H190" s="5" t="s">
        <v>453</v>
      </c>
    </row>
    <row r="191" customFormat="false" ht="15" hidden="false" customHeight="false" outlineLevel="0" collapsed="false">
      <c r="A191" s="5" t="s">
        <v>32</v>
      </c>
      <c r="B191" s="5" t="s">
        <v>454</v>
      </c>
      <c r="C191" s="5" t="s">
        <v>415</v>
      </c>
      <c r="D191" s="5" t="s">
        <v>51</v>
      </c>
      <c r="E191" s="5" t="s">
        <v>51</v>
      </c>
      <c r="F191" s="5" t="s">
        <v>51</v>
      </c>
      <c r="G191" s="10" t="s">
        <v>6</v>
      </c>
      <c r="H191" s="5" t="s">
        <v>455</v>
      </c>
    </row>
    <row r="192" customFormat="false" ht="15" hidden="false" customHeight="false" outlineLevel="0" collapsed="false">
      <c r="A192" s="5" t="s">
        <v>32</v>
      </c>
      <c r="B192" s="5" t="s">
        <v>456</v>
      </c>
      <c r="C192" s="5" t="s">
        <v>415</v>
      </c>
      <c r="D192" s="5" t="s">
        <v>51</v>
      </c>
      <c r="E192" s="5" t="s">
        <v>51</v>
      </c>
      <c r="F192" s="5" t="s">
        <v>51</v>
      </c>
      <c r="G192" s="10" t="s">
        <v>6</v>
      </c>
      <c r="H192" s="5" t="s">
        <v>455</v>
      </c>
    </row>
    <row r="193" customFormat="false" ht="15" hidden="false" customHeight="false" outlineLevel="0" collapsed="false">
      <c r="A193" s="5" t="s">
        <v>32</v>
      </c>
      <c r="B193" s="5" t="s">
        <v>457</v>
      </c>
      <c r="C193" s="5" t="s">
        <v>458</v>
      </c>
      <c r="D193" s="5" t="s">
        <v>51</v>
      </c>
      <c r="E193" s="5" t="s">
        <v>52</v>
      </c>
      <c r="F193" s="5" t="s">
        <v>52</v>
      </c>
      <c r="G193" s="10" t="s">
        <v>6</v>
      </c>
      <c r="H193" s="5" t="s">
        <v>459</v>
      </c>
    </row>
    <row r="194" customFormat="false" ht="15" hidden="false" customHeight="false" outlineLevel="0" collapsed="false">
      <c r="A194" s="5" t="s">
        <v>33</v>
      </c>
      <c r="B194" s="5" t="s">
        <v>460</v>
      </c>
      <c r="C194" s="5" t="s">
        <v>92</v>
      </c>
      <c r="D194" s="5" t="s">
        <v>51</v>
      </c>
      <c r="E194" s="5" t="s">
        <v>52</v>
      </c>
      <c r="F194" s="5" t="s">
        <v>52</v>
      </c>
      <c r="G194" s="10" t="s">
        <v>6</v>
      </c>
      <c r="H194" s="5" t="s">
        <v>461</v>
      </c>
    </row>
    <row r="195" customFormat="false" ht="15" hidden="false" customHeight="false" outlineLevel="0" collapsed="false">
      <c r="A195" s="5" t="s">
        <v>33</v>
      </c>
      <c r="B195" s="5" t="s">
        <v>462</v>
      </c>
      <c r="C195" s="5" t="s">
        <v>92</v>
      </c>
      <c r="D195" s="5" t="s">
        <v>51</v>
      </c>
      <c r="E195" s="5" t="s">
        <v>52</v>
      </c>
      <c r="F195" s="5" t="s">
        <v>52</v>
      </c>
      <c r="G195" s="10" t="s">
        <v>6</v>
      </c>
      <c r="H195" s="5" t="s">
        <v>463</v>
      </c>
    </row>
    <row r="196" customFormat="false" ht="15" hidden="false" customHeight="false" outlineLevel="0" collapsed="false">
      <c r="A196" s="5" t="s">
        <v>33</v>
      </c>
      <c r="B196" s="5" t="s">
        <v>464</v>
      </c>
      <c r="C196" s="5" t="s">
        <v>92</v>
      </c>
      <c r="D196" s="5" t="s">
        <v>51</v>
      </c>
      <c r="E196" s="5" t="s">
        <v>52</v>
      </c>
      <c r="F196" s="5" t="s">
        <v>52</v>
      </c>
      <c r="G196" s="10" t="s">
        <v>6</v>
      </c>
      <c r="H196" s="5" t="s">
        <v>465</v>
      </c>
    </row>
    <row r="197" customFormat="false" ht="15" hidden="false" customHeight="false" outlineLevel="0" collapsed="false">
      <c r="A197" s="5" t="s">
        <v>33</v>
      </c>
      <c r="B197" s="5" t="s">
        <v>466</v>
      </c>
      <c r="C197" s="5" t="s">
        <v>7</v>
      </c>
      <c r="D197" s="5" t="s">
        <v>51</v>
      </c>
      <c r="E197" s="5" t="s">
        <v>52</v>
      </c>
      <c r="F197" s="5" t="s">
        <v>52</v>
      </c>
      <c r="G197" s="11" t="s">
        <v>7</v>
      </c>
      <c r="H197" s="5" t="s">
        <v>467</v>
      </c>
    </row>
    <row r="198" customFormat="false" ht="15" hidden="false" customHeight="false" outlineLevel="0" collapsed="false">
      <c r="A198" s="5" t="s">
        <v>33</v>
      </c>
      <c r="B198" s="5" t="s">
        <v>468</v>
      </c>
      <c r="C198" s="5" t="s">
        <v>7</v>
      </c>
      <c r="D198" s="5" t="s">
        <v>51</v>
      </c>
      <c r="E198" s="5" t="s">
        <v>52</v>
      </c>
      <c r="F198" s="5" t="s">
        <v>52</v>
      </c>
      <c r="G198" s="11" t="s">
        <v>7</v>
      </c>
      <c r="H198" s="5" t="s">
        <v>469</v>
      </c>
    </row>
    <row r="199" customFormat="false" ht="15" hidden="false" customHeight="false" outlineLevel="0" collapsed="false">
      <c r="A199" s="5" t="s">
        <v>33</v>
      </c>
      <c r="B199" s="5" t="s">
        <v>470</v>
      </c>
      <c r="C199" s="5" t="s">
        <v>7</v>
      </c>
      <c r="D199" s="5" t="s">
        <v>51</v>
      </c>
      <c r="E199" s="5" t="s">
        <v>52</v>
      </c>
      <c r="F199" s="5" t="s">
        <v>52</v>
      </c>
      <c r="G199" s="11" t="s">
        <v>7</v>
      </c>
      <c r="H199" s="5" t="s">
        <v>471</v>
      </c>
    </row>
    <row r="200" customFormat="false" ht="15" hidden="false" customHeight="false" outlineLevel="0" collapsed="false">
      <c r="A200" s="5" t="s">
        <v>34</v>
      </c>
      <c r="B200" s="5" t="s">
        <v>472</v>
      </c>
      <c r="C200" s="5" t="s">
        <v>473</v>
      </c>
      <c r="D200" s="5" t="s">
        <v>51</v>
      </c>
      <c r="E200" s="5" t="s">
        <v>52</v>
      </c>
      <c r="F200" s="5" t="s">
        <v>52</v>
      </c>
      <c r="G200" s="10" t="s">
        <v>6</v>
      </c>
      <c r="H200" s="5" t="s">
        <v>474</v>
      </c>
    </row>
    <row r="201" customFormat="false" ht="15" hidden="false" customHeight="false" outlineLevel="0" collapsed="false">
      <c r="A201" s="5" t="s">
        <v>34</v>
      </c>
      <c r="B201" s="5" t="s">
        <v>475</v>
      </c>
      <c r="C201" s="5" t="s">
        <v>473</v>
      </c>
      <c r="D201" s="5" t="s">
        <v>51</v>
      </c>
      <c r="E201" s="5" t="s">
        <v>52</v>
      </c>
      <c r="F201" s="5" t="s">
        <v>52</v>
      </c>
      <c r="G201" s="10" t="s">
        <v>6</v>
      </c>
      <c r="H201" s="5" t="s">
        <v>476</v>
      </c>
    </row>
    <row r="202" customFormat="false" ht="15" hidden="false" customHeight="false" outlineLevel="0" collapsed="false">
      <c r="A202" s="5" t="s">
        <v>34</v>
      </c>
      <c r="B202" s="5" t="s">
        <v>477</v>
      </c>
      <c r="C202" s="5" t="s">
        <v>473</v>
      </c>
      <c r="D202" s="5" t="s">
        <v>51</v>
      </c>
      <c r="E202" s="5" t="s">
        <v>52</v>
      </c>
      <c r="F202" s="5" t="s">
        <v>52</v>
      </c>
      <c r="G202" s="10" t="s">
        <v>6</v>
      </c>
      <c r="H202" s="5" t="s">
        <v>478</v>
      </c>
    </row>
    <row r="203" customFormat="false" ht="15" hidden="false" customHeight="false" outlineLevel="0" collapsed="false">
      <c r="A203" s="5" t="s">
        <v>34</v>
      </c>
      <c r="B203" s="5" t="s">
        <v>479</v>
      </c>
      <c r="C203" s="5" t="s">
        <v>473</v>
      </c>
      <c r="D203" s="5" t="s">
        <v>51</v>
      </c>
      <c r="E203" s="5" t="s">
        <v>52</v>
      </c>
      <c r="F203" s="5" t="s">
        <v>52</v>
      </c>
      <c r="G203" s="10" t="s">
        <v>6</v>
      </c>
      <c r="H203" s="5" t="s">
        <v>480</v>
      </c>
    </row>
    <row r="204" customFormat="false" ht="15" hidden="false" customHeight="false" outlineLevel="0" collapsed="false">
      <c r="A204" s="5" t="s">
        <v>34</v>
      </c>
      <c r="B204" s="5" t="s">
        <v>481</v>
      </c>
      <c r="C204" s="5" t="s">
        <v>7</v>
      </c>
      <c r="D204" s="5" t="s">
        <v>51</v>
      </c>
      <c r="E204" s="5" t="s">
        <v>52</v>
      </c>
      <c r="F204" s="5" t="s">
        <v>52</v>
      </c>
      <c r="G204" s="11" t="s">
        <v>7</v>
      </c>
      <c r="H204" s="5" t="s">
        <v>482</v>
      </c>
    </row>
    <row r="205" customFormat="false" ht="15" hidden="false" customHeight="false" outlineLevel="0" collapsed="false">
      <c r="A205" s="5" t="s">
        <v>34</v>
      </c>
      <c r="B205" s="5" t="s">
        <v>483</v>
      </c>
      <c r="C205" s="5" t="s">
        <v>7</v>
      </c>
      <c r="D205" s="5" t="s">
        <v>51</v>
      </c>
      <c r="E205" s="5" t="s">
        <v>52</v>
      </c>
      <c r="F205" s="5" t="s">
        <v>52</v>
      </c>
      <c r="G205" s="11" t="s">
        <v>7</v>
      </c>
      <c r="H205" s="5" t="s">
        <v>204</v>
      </c>
    </row>
    <row r="206" customFormat="false" ht="15" hidden="false" customHeight="false" outlineLevel="0" collapsed="false">
      <c r="A206" s="5" t="s">
        <v>34</v>
      </c>
      <c r="B206" s="5" t="s">
        <v>484</v>
      </c>
      <c r="C206" s="5" t="s">
        <v>473</v>
      </c>
      <c r="D206" s="5" t="s">
        <v>51</v>
      </c>
      <c r="E206" s="5" t="s">
        <v>52</v>
      </c>
      <c r="F206" s="5" t="s">
        <v>52</v>
      </c>
      <c r="G206" s="10" t="s">
        <v>6</v>
      </c>
      <c r="H206" s="5" t="s">
        <v>485</v>
      </c>
    </row>
    <row r="207" customFormat="false" ht="15" hidden="false" customHeight="false" outlineLevel="0" collapsed="false">
      <c r="A207" s="5" t="s">
        <v>34</v>
      </c>
      <c r="B207" s="5" t="s">
        <v>486</v>
      </c>
      <c r="C207" s="5" t="s">
        <v>473</v>
      </c>
      <c r="D207" s="5" t="s">
        <v>51</v>
      </c>
      <c r="E207" s="5" t="s">
        <v>52</v>
      </c>
      <c r="F207" s="5" t="s">
        <v>52</v>
      </c>
      <c r="G207" s="10" t="s">
        <v>6</v>
      </c>
      <c r="H207" s="5" t="s">
        <v>487</v>
      </c>
    </row>
    <row r="208" customFormat="false" ht="15" hidden="false" customHeight="false" outlineLevel="0" collapsed="false">
      <c r="A208" s="5" t="s">
        <v>34</v>
      </c>
      <c r="B208" s="5" t="s">
        <v>488</v>
      </c>
      <c r="C208" s="5" t="s">
        <v>316</v>
      </c>
      <c r="D208" s="5" t="s">
        <v>51</v>
      </c>
      <c r="E208" s="5" t="s">
        <v>52</v>
      </c>
      <c r="F208" s="5" t="s">
        <v>52</v>
      </c>
      <c r="G208" s="10" t="s">
        <v>6</v>
      </c>
      <c r="H208" s="5" t="s">
        <v>317</v>
      </c>
    </row>
    <row r="209" customFormat="false" ht="15" hidden="false" customHeight="false" outlineLevel="0" collapsed="false">
      <c r="A209" s="5" t="s">
        <v>34</v>
      </c>
      <c r="B209" s="5" t="s">
        <v>489</v>
      </c>
      <c r="C209" s="5" t="s">
        <v>316</v>
      </c>
      <c r="D209" s="5" t="s">
        <v>51</v>
      </c>
      <c r="E209" s="5" t="s">
        <v>52</v>
      </c>
      <c r="F209" s="5" t="s">
        <v>52</v>
      </c>
      <c r="G209" s="10" t="s">
        <v>6</v>
      </c>
      <c r="H209" s="5" t="s">
        <v>490</v>
      </c>
    </row>
    <row r="210" customFormat="false" ht="15" hidden="false" customHeight="false" outlineLevel="0" collapsed="false">
      <c r="A210" s="5" t="s">
        <v>34</v>
      </c>
      <c r="B210" s="5" t="s">
        <v>491</v>
      </c>
      <c r="C210" s="5" t="s">
        <v>316</v>
      </c>
      <c r="D210" s="5" t="s">
        <v>51</v>
      </c>
      <c r="E210" s="5" t="s">
        <v>52</v>
      </c>
      <c r="F210" s="5" t="s">
        <v>52</v>
      </c>
      <c r="G210" s="10" t="s">
        <v>6</v>
      </c>
      <c r="H210" s="5" t="s">
        <v>492</v>
      </c>
    </row>
    <row r="211" customFormat="false" ht="15" hidden="false" customHeight="false" outlineLevel="0" collapsed="false">
      <c r="A211" s="5" t="s">
        <v>34</v>
      </c>
      <c r="B211" s="5" t="s">
        <v>493</v>
      </c>
      <c r="C211" s="5" t="s">
        <v>7</v>
      </c>
      <c r="D211" s="5" t="s">
        <v>51</v>
      </c>
      <c r="E211" s="5" t="s">
        <v>52</v>
      </c>
      <c r="F211" s="5" t="s">
        <v>52</v>
      </c>
      <c r="G211" s="11" t="s">
        <v>7</v>
      </c>
      <c r="H211" s="5" t="s">
        <v>494</v>
      </c>
    </row>
    <row r="212" customFormat="false" ht="15" hidden="false" customHeight="false" outlineLevel="0" collapsed="false">
      <c r="A212" s="5" t="s">
        <v>34</v>
      </c>
      <c r="B212" s="5" t="s">
        <v>495</v>
      </c>
      <c r="C212" s="5" t="s">
        <v>7</v>
      </c>
      <c r="D212" s="5" t="s">
        <v>51</v>
      </c>
      <c r="E212" s="5" t="s">
        <v>52</v>
      </c>
      <c r="F212" s="5" t="s">
        <v>52</v>
      </c>
      <c r="G212" s="11" t="s">
        <v>7</v>
      </c>
      <c r="H212" s="5" t="s">
        <v>204</v>
      </c>
    </row>
    <row r="213" customFormat="false" ht="15" hidden="false" customHeight="false" outlineLevel="0" collapsed="false">
      <c r="A213" s="5" t="s">
        <v>34</v>
      </c>
      <c r="B213" s="5" t="s">
        <v>496</v>
      </c>
      <c r="C213" s="5" t="s">
        <v>7</v>
      </c>
      <c r="D213" s="5" t="s">
        <v>51</v>
      </c>
      <c r="E213" s="5" t="s">
        <v>52</v>
      </c>
      <c r="F213" s="5" t="s">
        <v>52</v>
      </c>
      <c r="G213" s="11" t="s">
        <v>7</v>
      </c>
      <c r="H213" s="5" t="s">
        <v>497</v>
      </c>
    </row>
    <row r="214" customFormat="false" ht="15" hidden="false" customHeight="false" outlineLevel="0" collapsed="false">
      <c r="A214" s="5" t="s">
        <v>36</v>
      </c>
      <c r="B214" s="5" t="s">
        <v>498</v>
      </c>
      <c r="C214" s="5" t="s">
        <v>473</v>
      </c>
      <c r="D214" s="5" t="s">
        <v>51</v>
      </c>
      <c r="E214" s="5" t="s">
        <v>52</v>
      </c>
      <c r="F214" s="5" t="s">
        <v>52</v>
      </c>
      <c r="G214" s="10" t="s">
        <v>6</v>
      </c>
      <c r="H214" s="5" t="s">
        <v>499</v>
      </c>
    </row>
    <row r="215" customFormat="false" ht="15" hidden="false" customHeight="false" outlineLevel="0" collapsed="false">
      <c r="A215" s="5" t="s">
        <v>36</v>
      </c>
      <c r="B215" s="5" t="s">
        <v>500</v>
      </c>
      <c r="C215" s="5" t="s">
        <v>473</v>
      </c>
      <c r="D215" s="5" t="s">
        <v>51</v>
      </c>
      <c r="E215" s="5" t="s">
        <v>52</v>
      </c>
      <c r="F215" s="5" t="s">
        <v>52</v>
      </c>
      <c r="G215" s="10" t="s">
        <v>6</v>
      </c>
      <c r="H215" s="5" t="s">
        <v>501</v>
      </c>
    </row>
    <row r="216" customFormat="false" ht="15" hidden="false" customHeight="false" outlineLevel="0" collapsed="false">
      <c r="A216" s="5" t="s">
        <v>36</v>
      </c>
      <c r="B216" s="5" t="s">
        <v>502</v>
      </c>
      <c r="C216" s="5" t="s">
        <v>7</v>
      </c>
      <c r="D216" s="5" t="s">
        <v>51</v>
      </c>
      <c r="E216" s="5" t="s">
        <v>52</v>
      </c>
      <c r="F216" s="5" t="s">
        <v>52</v>
      </c>
      <c r="G216" s="11" t="s">
        <v>7</v>
      </c>
      <c r="H216" s="5" t="s">
        <v>503</v>
      </c>
    </row>
    <row r="217" customFormat="false" ht="15" hidden="false" customHeight="false" outlineLevel="0" collapsed="false">
      <c r="A217" s="5" t="s">
        <v>36</v>
      </c>
      <c r="B217" s="5" t="s">
        <v>504</v>
      </c>
      <c r="C217" s="5" t="s">
        <v>7</v>
      </c>
      <c r="D217" s="5" t="s">
        <v>51</v>
      </c>
      <c r="E217" s="5" t="s">
        <v>52</v>
      </c>
      <c r="F217" s="5" t="s">
        <v>52</v>
      </c>
      <c r="G217" s="11" t="s">
        <v>7</v>
      </c>
      <c r="H217" s="5" t="s">
        <v>505</v>
      </c>
    </row>
    <row r="218" customFormat="false" ht="15" hidden="false" customHeight="false" outlineLevel="0" collapsed="false">
      <c r="A218" s="5" t="s">
        <v>36</v>
      </c>
      <c r="B218" s="5" t="s">
        <v>506</v>
      </c>
      <c r="C218" s="5" t="s">
        <v>7</v>
      </c>
      <c r="D218" s="5" t="s">
        <v>51</v>
      </c>
      <c r="E218" s="5" t="s">
        <v>52</v>
      </c>
      <c r="F218" s="5" t="s">
        <v>52</v>
      </c>
      <c r="G218" s="11" t="s">
        <v>7</v>
      </c>
      <c r="H218" s="5" t="s">
        <v>204</v>
      </c>
    </row>
    <row r="219" customFormat="false" ht="15" hidden="false" customHeight="false" outlineLevel="0" collapsed="false">
      <c r="A219" s="5" t="s">
        <v>36</v>
      </c>
      <c r="B219" s="5" t="s">
        <v>507</v>
      </c>
      <c r="C219" s="5" t="s">
        <v>473</v>
      </c>
      <c r="D219" s="5" t="s">
        <v>51</v>
      </c>
      <c r="E219" s="5" t="s">
        <v>52</v>
      </c>
      <c r="F219" s="5" t="s">
        <v>52</v>
      </c>
      <c r="G219" s="10" t="s">
        <v>6</v>
      </c>
      <c r="H219" s="5" t="s">
        <v>508</v>
      </c>
    </row>
    <row r="220" customFormat="false" ht="15" hidden="false" customHeight="false" outlineLevel="0" collapsed="false">
      <c r="A220" s="5" t="s">
        <v>36</v>
      </c>
      <c r="B220" s="5" t="s">
        <v>509</v>
      </c>
      <c r="C220" s="5" t="s">
        <v>7</v>
      </c>
      <c r="D220" s="5" t="s">
        <v>51</v>
      </c>
      <c r="E220" s="5" t="s">
        <v>52</v>
      </c>
      <c r="F220" s="5" t="s">
        <v>52</v>
      </c>
      <c r="G220" s="11" t="s">
        <v>7</v>
      </c>
      <c r="H220" s="5" t="s">
        <v>510</v>
      </c>
    </row>
    <row r="221" customFormat="false" ht="15" hidden="false" customHeight="false" outlineLevel="0" collapsed="false">
      <c r="A221" s="5" t="s">
        <v>36</v>
      </c>
      <c r="B221" s="5" t="s">
        <v>511</v>
      </c>
      <c r="C221" s="5" t="s">
        <v>7</v>
      </c>
      <c r="D221" s="5" t="s">
        <v>51</v>
      </c>
      <c r="E221" s="5" t="s">
        <v>52</v>
      </c>
      <c r="F221" s="5" t="s">
        <v>52</v>
      </c>
      <c r="G221" s="11" t="s">
        <v>7</v>
      </c>
      <c r="H221" s="5" t="s">
        <v>204</v>
      </c>
    </row>
    <row r="222" customFormat="false" ht="15" hidden="false" customHeight="false" outlineLevel="0" collapsed="false">
      <c r="A222" s="5" t="s">
        <v>37</v>
      </c>
      <c r="B222" s="5" t="s">
        <v>512</v>
      </c>
      <c r="C222" s="5" t="s">
        <v>458</v>
      </c>
      <c r="D222" s="5" t="s">
        <v>51</v>
      </c>
      <c r="E222" s="5" t="s">
        <v>52</v>
      </c>
      <c r="F222" s="5" t="s">
        <v>52</v>
      </c>
      <c r="G222" s="10" t="s">
        <v>6</v>
      </c>
      <c r="H222" s="5" t="s">
        <v>513</v>
      </c>
    </row>
    <row r="223" customFormat="false" ht="15" hidden="false" customHeight="false" outlineLevel="0" collapsed="false">
      <c r="A223" s="5" t="s">
        <v>37</v>
      </c>
      <c r="B223" s="5" t="s">
        <v>514</v>
      </c>
      <c r="C223" s="5" t="s">
        <v>458</v>
      </c>
      <c r="D223" s="5" t="s">
        <v>51</v>
      </c>
      <c r="E223" s="5" t="s">
        <v>52</v>
      </c>
      <c r="F223" s="5" t="s">
        <v>52</v>
      </c>
      <c r="G223" s="10" t="s">
        <v>6</v>
      </c>
      <c r="H223" s="5" t="s">
        <v>515</v>
      </c>
    </row>
    <row r="224" customFormat="false" ht="15" hidden="false" customHeight="false" outlineLevel="0" collapsed="false">
      <c r="A224" s="5" t="s">
        <v>37</v>
      </c>
      <c r="B224" s="5" t="s">
        <v>516</v>
      </c>
      <c r="C224" s="5" t="s">
        <v>458</v>
      </c>
      <c r="D224" s="5" t="s">
        <v>51</v>
      </c>
      <c r="E224" s="5" t="s">
        <v>52</v>
      </c>
      <c r="F224" s="5" t="s">
        <v>52</v>
      </c>
      <c r="G224" s="10" t="s">
        <v>6</v>
      </c>
      <c r="H224" s="5" t="s">
        <v>517</v>
      </c>
    </row>
    <row r="225" customFormat="false" ht="15" hidden="false" customHeight="false" outlineLevel="0" collapsed="false">
      <c r="A225" s="5" t="s">
        <v>37</v>
      </c>
      <c r="B225" s="5" t="s">
        <v>518</v>
      </c>
      <c r="C225" s="5" t="s">
        <v>458</v>
      </c>
      <c r="D225" s="5" t="s">
        <v>51</v>
      </c>
      <c r="E225" s="5" t="s">
        <v>52</v>
      </c>
      <c r="F225" s="5" t="s">
        <v>52</v>
      </c>
      <c r="G225" s="10" t="s">
        <v>6</v>
      </c>
      <c r="H225" s="5" t="s">
        <v>519</v>
      </c>
    </row>
    <row r="226" customFormat="false" ht="15" hidden="false" customHeight="false" outlineLevel="0" collapsed="false">
      <c r="A226" s="5" t="s">
        <v>37</v>
      </c>
      <c r="B226" s="5" t="s">
        <v>520</v>
      </c>
      <c r="C226" s="5" t="s">
        <v>7</v>
      </c>
      <c r="D226" s="5" t="s">
        <v>51</v>
      </c>
      <c r="E226" s="5" t="s">
        <v>52</v>
      </c>
      <c r="F226" s="5" t="s">
        <v>52</v>
      </c>
      <c r="G226" s="11" t="s">
        <v>7</v>
      </c>
      <c r="H226" s="5" t="s">
        <v>521</v>
      </c>
    </row>
    <row r="227" customFormat="false" ht="15" hidden="false" customHeight="false" outlineLevel="0" collapsed="false">
      <c r="A227" s="5" t="s">
        <v>37</v>
      </c>
      <c r="B227" s="5" t="s">
        <v>522</v>
      </c>
      <c r="C227" s="5" t="s">
        <v>7</v>
      </c>
      <c r="D227" s="5" t="s">
        <v>51</v>
      </c>
      <c r="E227" s="5" t="s">
        <v>52</v>
      </c>
      <c r="F227" s="5" t="s">
        <v>52</v>
      </c>
      <c r="G227" s="11" t="s">
        <v>7</v>
      </c>
      <c r="H227" s="5" t="s">
        <v>204</v>
      </c>
    </row>
    <row r="228" customFormat="false" ht="15" hidden="false" customHeight="false" outlineLevel="0" collapsed="false">
      <c r="A228" s="5" t="s">
        <v>523</v>
      </c>
      <c r="B228" s="5" t="s">
        <v>524</v>
      </c>
      <c r="C228" s="5" t="s">
        <v>525</v>
      </c>
      <c r="D228" s="5" t="s">
        <v>52</v>
      </c>
      <c r="E228" s="5" t="s">
        <v>52</v>
      </c>
      <c r="F228" s="5" t="s">
        <v>52</v>
      </c>
      <c r="G228" s="13" t="s">
        <v>5</v>
      </c>
      <c r="H228" s="5" t="s">
        <v>526</v>
      </c>
    </row>
    <row r="229" customFormat="false" ht="15" hidden="false" customHeight="false" outlineLevel="0" collapsed="false">
      <c r="A229" s="5" t="s">
        <v>523</v>
      </c>
      <c r="B229" s="5" t="s">
        <v>527</v>
      </c>
      <c r="C229" s="5" t="s">
        <v>525</v>
      </c>
      <c r="D229" s="5" t="s">
        <v>52</v>
      </c>
      <c r="E229" s="5" t="s">
        <v>52</v>
      </c>
      <c r="F229" s="5" t="s">
        <v>52</v>
      </c>
      <c r="G229" s="13" t="s">
        <v>5</v>
      </c>
      <c r="H229" s="5" t="s">
        <v>528</v>
      </c>
    </row>
    <row r="230" customFormat="false" ht="15" hidden="false" customHeight="false" outlineLevel="0" collapsed="false">
      <c r="A230" s="5" t="s">
        <v>523</v>
      </c>
      <c r="B230" s="5" t="s">
        <v>529</v>
      </c>
      <c r="C230" s="5" t="s">
        <v>530</v>
      </c>
      <c r="D230" s="5" t="s">
        <v>51</v>
      </c>
      <c r="E230" s="5" t="s">
        <v>52</v>
      </c>
      <c r="F230" s="5" t="s">
        <v>52</v>
      </c>
      <c r="G230" s="10" t="s">
        <v>6</v>
      </c>
      <c r="H230" s="5" t="s">
        <v>531</v>
      </c>
    </row>
    <row r="231" customFormat="false" ht="15" hidden="false" customHeight="false" outlineLevel="0" collapsed="false">
      <c r="A231" s="5" t="s">
        <v>523</v>
      </c>
      <c r="B231" s="5" t="s">
        <v>532</v>
      </c>
      <c r="C231" s="5" t="s">
        <v>276</v>
      </c>
      <c r="D231" s="5" t="s">
        <v>51</v>
      </c>
      <c r="E231" s="5" t="s">
        <v>52</v>
      </c>
      <c r="F231" s="5" t="s">
        <v>52</v>
      </c>
      <c r="G231" s="10" t="s">
        <v>6</v>
      </c>
      <c r="H231" s="5" t="s">
        <v>533</v>
      </c>
    </row>
    <row r="232" customFormat="false" ht="15" hidden="false" customHeight="false" outlineLevel="0" collapsed="false">
      <c r="A232" s="5" t="s">
        <v>39</v>
      </c>
      <c r="B232" s="5" t="s">
        <v>534</v>
      </c>
      <c r="C232" s="5" t="s">
        <v>535</v>
      </c>
      <c r="D232" s="5" t="s">
        <v>51</v>
      </c>
      <c r="E232" s="5" t="s">
        <v>52</v>
      </c>
      <c r="F232" s="5" t="s">
        <v>52</v>
      </c>
      <c r="G232" s="10" t="s">
        <v>6</v>
      </c>
      <c r="H232" s="5" t="s">
        <v>536</v>
      </c>
    </row>
    <row r="233" customFormat="false" ht="15" hidden="false" customHeight="false" outlineLevel="0" collapsed="false">
      <c r="A233" s="5" t="s">
        <v>39</v>
      </c>
      <c r="B233" s="5" t="s">
        <v>537</v>
      </c>
      <c r="C233" s="5" t="s">
        <v>535</v>
      </c>
      <c r="D233" s="5" t="s">
        <v>51</v>
      </c>
      <c r="E233" s="5" t="s">
        <v>52</v>
      </c>
      <c r="F233" s="5" t="s">
        <v>52</v>
      </c>
      <c r="G233" s="10" t="s">
        <v>6</v>
      </c>
      <c r="H233" s="5" t="s">
        <v>538</v>
      </c>
    </row>
    <row r="234" customFormat="false" ht="15" hidden="false" customHeight="false" outlineLevel="0" collapsed="false">
      <c r="A234" s="5" t="s">
        <v>39</v>
      </c>
      <c r="B234" s="5" t="s">
        <v>539</v>
      </c>
      <c r="C234" s="5" t="s">
        <v>535</v>
      </c>
      <c r="D234" s="5" t="s">
        <v>51</v>
      </c>
      <c r="E234" s="5" t="s">
        <v>52</v>
      </c>
      <c r="F234" s="5" t="s">
        <v>52</v>
      </c>
      <c r="G234" s="10" t="s">
        <v>6</v>
      </c>
      <c r="H234" s="5" t="s">
        <v>540</v>
      </c>
    </row>
    <row r="235" customFormat="false" ht="15" hidden="false" customHeight="false" outlineLevel="0" collapsed="false">
      <c r="A235" s="5" t="s">
        <v>39</v>
      </c>
      <c r="B235" s="5" t="s">
        <v>541</v>
      </c>
      <c r="C235" s="5" t="s">
        <v>535</v>
      </c>
      <c r="D235" s="5" t="s">
        <v>51</v>
      </c>
      <c r="E235" s="5" t="s">
        <v>52</v>
      </c>
      <c r="F235" s="5" t="s">
        <v>52</v>
      </c>
      <c r="G235" s="10" t="s">
        <v>6</v>
      </c>
      <c r="H235" s="5" t="s">
        <v>542</v>
      </c>
    </row>
    <row r="236" customFormat="false" ht="15" hidden="false" customHeight="false" outlineLevel="0" collapsed="false">
      <c r="A236" s="5" t="s">
        <v>39</v>
      </c>
      <c r="B236" s="5" t="s">
        <v>543</v>
      </c>
      <c r="C236" s="5" t="s">
        <v>535</v>
      </c>
      <c r="D236" s="5" t="s">
        <v>51</v>
      </c>
      <c r="E236" s="5" t="s">
        <v>52</v>
      </c>
      <c r="F236" s="5" t="s">
        <v>52</v>
      </c>
      <c r="G236" s="10" t="s">
        <v>6</v>
      </c>
      <c r="H236" s="5" t="s">
        <v>544</v>
      </c>
    </row>
    <row r="237" customFormat="false" ht="15" hidden="false" customHeight="false" outlineLevel="0" collapsed="false">
      <c r="A237" s="5" t="s">
        <v>39</v>
      </c>
      <c r="B237" s="5" t="s">
        <v>545</v>
      </c>
      <c r="C237" s="5" t="s">
        <v>535</v>
      </c>
      <c r="D237" s="5" t="s">
        <v>51</v>
      </c>
      <c r="E237" s="5" t="s">
        <v>52</v>
      </c>
      <c r="F237" s="5" t="s">
        <v>52</v>
      </c>
      <c r="G237" s="10" t="s">
        <v>6</v>
      </c>
      <c r="H237" s="5" t="s">
        <v>546</v>
      </c>
    </row>
    <row r="238" customFormat="false" ht="15" hidden="false" customHeight="false" outlineLevel="0" collapsed="false">
      <c r="A238" s="5" t="s">
        <v>39</v>
      </c>
      <c r="B238" s="5" t="s">
        <v>547</v>
      </c>
      <c r="C238" s="5" t="s">
        <v>535</v>
      </c>
      <c r="D238" s="5" t="s">
        <v>51</v>
      </c>
      <c r="E238" s="5" t="s">
        <v>52</v>
      </c>
      <c r="F238" s="5" t="s">
        <v>52</v>
      </c>
      <c r="G238" s="10" t="s">
        <v>6</v>
      </c>
      <c r="H238" s="5" t="s">
        <v>548</v>
      </c>
    </row>
    <row r="239" customFormat="false" ht="15" hidden="false" customHeight="false" outlineLevel="0" collapsed="false">
      <c r="A239" s="5" t="s">
        <v>39</v>
      </c>
      <c r="B239" s="5" t="s">
        <v>549</v>
      </c>
      <c r="C239" s="5" t="s">
        <v>535</v>
      </c>
      <c r="D239" s="5" t="s">
        <v>51</v>
      </c>
      <c r="E239" s="5" t="s">
        <v>52</v>
      </c>
      <c r="F239" s="5" t="s">
        <v>52</v>
      </c>
      <c r="G239" s="10" t="s">
        <v>6</v>
      </c>
      <c r="H239" s="5" t="s">
        <v>550</v>
      </c>
    </row>
    <row r="240" customFormat="false" ht="15" hidden="false" customHeight="false" outlineLevel="0" collapsed="false">
      <c r="A240" s="5" t="s">
        <v>39</v>
      </c>
      <c r="B240" s="5" t="s">
        <v>551</v>
      </c>
      <c r="C240" s="5" t="s">
        <v>535</v>
      </c>
      <c r="D240" s="5" t="s">
        <v>51</v>
      </c>
      <c r="E240" s="5" t="s">
        <v>52</v>
      </c>
      <c r="F240" s="5" t="s">
        <v>52</v>
      </c>
      <c r="G240" s="10" t="s">
        <v>6</v>
      </c>
      <c r="H240" s="5" t="s">
        <v>552</v>
      </c>
    </row>
    <row r="241" customFormat="false" ht="15" hidden="false" customHeight="false" outlineLevel="0" collapsed="false">
      <c r="A241" s="5" t="s">
        <v>39</v>
      </c>
      <c r="B241" s="5" t="s">
        <v>553</v>
      </c>
      <c r="C241" s="5" t="s">
        <v>535</v>
      </c>
      <c r="D241" s="5" t="s">
        <v>51</v>
      </c>
      <c r="E241" s="5" t="s">
        <v>52</v>
      </c>
      <c r="F241" s="5" t="s">
        <v>52</v>
      </c>
      <c r="G241" s="10" t="s">
        <v>6</v>
      </c>
      <c r="H241" s="5" t="s">
        <v>554</v>
      </c>
    </row>
    <row r="242" customFormat="false" ht="15" hidden="false" customHeight="false" outlineLevel="0" collapsed="false">
      <c r="A242" s="5" t="s">
        <v>39</v>
      </c>
      <c r="B242" s="5" t="s">
        <v>555</v>
      </c>
      <c r="C242" s="5" t="s">
        <v>535</v>
      </c>
      <c r="D242" s="5" t="s">
        <v>51</v>
      </c>
      <c r="E242" s="5" t="s">
        <v>52</v>
      </c>
      <c r="F242" s="5" t="s">
        <v>52</v>
      </c>
      <c r="G242" s="10" t="s">
        <v>6</v>
      </c>
      <c r="H242" s="5" t="s">
        <v>556</v>
      </c>
    </row>
    <row r="243" customFormat="false" ht="15" hidden="false" customHeight="false" outlineLevel="0" collapsed="false">
      <c r="A243" s="5" t="s">
        <v>39</v>
      </c>
      <c r="B243" s="5" t="s">
        <v>557</v>
      </c>
      <c r="C243" s="5" t="s">
        <v>535</v>
      </c>
      <c r="D243" s="5" t="s">
        <v>51</v>
      </c>
      <c r="E243" s="5" t="s">
        <v>52</v>
      </c>
      <c r="F243" s="5" t="s">
        <v>52</v>
      </c>
      <c r="G243" s="10" t="s">
        <v>6</v>
      </c>
      <c r="H243" s="5" t="s">
        <v>558</v>
      </c>
    </row>
    <row r="244" customFormat="false" ht="15" hidden="false" customHeight="false" outlineLevel="0" collapsed="false">
      <c r="A244" s="5" t="s">
        <v>40</v>
      </c>
      <c r="B244" s="5" t="s">
        <v>559</v>
      </c>
      <c r="C244" s="5" t="s">
        <v>415</v>
      </c>
      <c r="D244" s="5" t="s">
        <v>51</v>
      </c>
      <c r="E244" s="5" t="s">
        <v>66</v>
      </c>
      <c r="F244" s="5" t="s">
        <v>66</v>
      </c>
      <c r="G244" s="10" t="s">
        <v>6</v>
      </c>
      <c r="H244" s="5" t="s">
        <v>560</v>
      </c>
    </row>
    <row r="245" customFormat="false" ht="15" hidden="false" customHeight="false" outlineLevel="0" collapsed="false">
      <c r="A245" s="5" t="s">
        <v>40</v>
      </c>
      <c r="B245" s="5" t="s">
        <v>561</v>
      </c>
      <c r="C245" s="5" t="s">
        <v>562</v>
      </c>
      <c r="D245" s="5" t="s">
        <v>51</v>
      </c>
      <c r="E245" s="5" t="s">
        <v>66</v>
      </c>
      <c r="F245" s="5" t="s">
        <v>66</v>
      </c>
      <c r="G245" s="10" t="s">
        <v>6</v>
      </c>
      <c r="H245" s="5" t="s">
        <v>563</v>
      </c>
    </row>
    <row r="246" customFormat="false" ht="15" hidden="false" customHeight="false" outlineLevel="0" collapsed="false">
      <c r="A246" s="5" t="s">
        <v>40</v>
      </c>
      <c r="B246" s="5" t="s">
        <v>564</v>
      </c>
      <c r="C246" s="5" t="s">
        <v>7</v>
      </c>
      <c r="D246" s="5" t="s">
        <v>51</v>
      </c>
      <c r="E246" s="5" t="s">
        <v>66</v>
      </c>
      <c r="F246" s="5" t="s">
        <v>66</v>
      </c>
      <c r="G246" s="11" t="s">
        <v>7</v>
      </c>
      <c r="H246" s="5" t="s">
        <v>565</v>
      </c>
    </row>
    <row r="247" customFormat="false" ht="15" hidden="false" customHeight="false" outlineLevel="0" collapsed="false">
      <c r="A247" s="5" t="s">
        <v>40</v>
      </c>
      <c r="B247" s="5" t="s">
        <v>566</v>
      </c>
      <c r="C247" s="5" t="s">
        <v>7</v>
      </c>
      <c r="D247" s="5" t="s">
        <v>51</v>
      </c>
      <c r="E247" s="5" t="s">
        <v>66</v>
      </c>
      <c r="F247" s="5" t="s">
        <v>66</v>
      </c>
      <c r="G247" s="11" t="s">
        <v>7</v>
      </c>
      <c r="H247" s="5" t="s">
        <v>567</v>
      </c>
    </row>
    <row r="248" customFormat="false" ht="15" hidden="false" customHeight="false" outlineLevel="0" collapsed="false">
      <c r="A248" s="5" t="s">
        <v>41</v>
      </c>
      <c r="B248" s="5" t="s">
        <v>568</v>
      </c>
      <c r="C248" s="5" t="s">
        <v>276</v>
      </c>
      <c r="D248" s="5" t="s">
        <v>52</v>
      </c>
      <c r="E248" s="5" t="s">
        <v>52</v>
      </c>
      <c r="F248" s="5" t="s">
        <v>52</v>
      </c>
      <c r="G248" s="13" t="s">
        <v>5</v>
      </c>
      <c r="H248" s="5" t="s">
        <v>569</v>
      </c>
    </row>
    <row r="249" customFormat="false" ht="15" hidden="false" customHeight="false" outlineLevel="0" collapsed="false">
      <c r="A249" s="5" t="s">
        <v>41</v>
      </c>
      <c r="B249" s="5" t="s">
        <v>570</v>
      </c>
      <c r="C249" s="5" t="s">
        <v>276</v>
      </c>
      <c r="D249" s="5" t="s">
        <v>51</v>
      </c>
      <c r="E249" s="5" t="s">
        <v>52</v>
      </c>
      <c r="F249" s="5" t="s">
        <v>52</v>
      </c>
      <c r="G249" s="10" t="s">
        <v>6</v>
      </c>
      <c r="H249" s="5" t="s">
        <v>571</v>
      </c>
    </row>
    <row r="250" customFormat="false" ht="15" hidden="false" customHeight="false" outlineLevel="0" collapsed="false">
      <c r="A250" s="5" t="s">
        <v>41</v>
      </c>
      <c r="B250" s="5" t="s">
        <v>572</v>
      </c>
      <c r="C250" s="5" t="s">
        <v>276</v>
      </c>
      <c r="D250" s="5" t="s">
        <v>51</v>
      </c>
      <c r="E250" s="5" t="s">
        <v>52</v>
      </c>
      <c r="F250" s="5" t="s">
        <v>52</v>
      </c>
      <c r="G250" s="10" t="s">
        <v>6</v>
      </c>
      <c r="H250" s="5" t="s">
        <v>573</v>
      </c>
    </row>
    <row r="251" customFormat="false" ht="15" hidden="false" customHeight="false" outlineLevel="0" collapsed="false">
      <c r="A251" s="5" t="s">
        <v>41</v>
      </c>
      <c r="B251" s="5" t="s">
        <v>574</v>
      </c>
      <c r="C251" s="5" t="s">
        <v>276</v>
      </c>
      <c r="D251" s="5" t="s">
        <v>51</v>
      </c>
      <c r="E251" s="5" t="s">
        <v>66</v>
      </c>
      <c r="F251" s="5" t="s">
        <v>66</v>
      </c>
      <c r="G251" s="12" t="s">
        <v>4</v>
      </c>
      <c r="H251" s="5" t="s">
        <v>575</v>
      </c>
    </row>
    <row r="252" customFormat="false" ht="15" hidden="false" customHeight="false" outlineLevel="0" collapsed="false">
      <c r="A252" s="5" t="s">
        <v>41</v>
      </c>
      <c r="B252" s="5" t="s">
        <v>576</v>
      </c>
      <c r="C252" s="5" t="s">
        <v>276</v>
      </c>
      <c r="D252" s="5" t="s">
        <v>51</v>
      </c>
      <c r="E252" s="5" t="s">
        <v>52</v>
      </c>
      <c r="F252" s="5" t="s">
        <v>52</v>
      </c>
      <c r="G252" s="10" t="s">
        <v>6</v>
      </c>
      <c r="H252" s="5" t="s">
        <v>577</v>
      </c>
    </row>
    <row r="253" customFormat="false" ht="15" hidden="false" customHeight="false" outlineLevel="0" collapsed="false">
      <c r="A253" s="5" t="s">
        <v>41</v>
      </c>
      <c r="B253" s="5" t="s">
        <v>578</v>
      </c>
      <c r="C253" s="5" t="s">
        <v>276</v>
      </c>
      <c r="D253" s="5" t="s">
        <v>51</v>
      </c>
      <c r="E253" s="5" t="s">
        <v>51</v>
      </c>
      <c r="F253" s="5" t="s">
        <v>51</v>
      </c>
      <c r="G253" s="10" t="s">
        <v>6</v>
      </c>
      <c r="H253" s="5" t="s">
        <v>579</v>
      </c>
    </row>
  </sheetData>
  <autoFilter ref="A1:H2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4" t="s">
        <v>580</v>
      </c>
    </row>
    <row r="3" customFormat="false" ht="26.85" hidden="false" customHeight="false" outlineLevel="0" collapsed="false">
      <c r="A3" s="3" t="s">
        <v>581</v>
      </c>
      <c r="B3" s="3" t="s">
        <v>582</v>
      </c>
      <c r="C3" s="3" t="s">
        <v>583</v>
      </c>
    </row>
    <row r="4" customFormat="false" ht="15" hidden="false" customHeight="false" outlineLevel="0" collapsed="false">
      <c r="A4" s="10" t="s">
        <v>6</v>
      </c>
      <c r="B4" s="5" t="n">
        <v>162</v>
      </c>
      <c r="C4" s="6" t="n">
        <f aca="false">B4/252</f>
        <v>0.642857142857143</v>
      </c>
    </row>
    <row r="5" customFormat="false" ht="15" hidden="false" customHeight="false" outlineLevel="0" collapsed="false">
      <c r="A5" s="11" t="s">
        <v>7</v>
      </c>
      <c r="B5" s="5" t="n">
        <v>48</v>
      </c>
      <c r="C5" s="6" t="n">
        <f aca="false">B5/252</f>
        <v>0.19047619047619</v>
      </c>
    </row>
    <row r="6" customFormat="false" ht="15" hidden="false" customHeight="false" outlineLevel="0" collapsed="false">
      <c r="A6" s="13" t="s">
        <v>5</v>
      </c>
      <c r="B6" s="5" t="n">
        <v>33</v>
      </c>
      <c r="C6" s="6" t="n">
        <f aca="false">B6/252</f>
        <v>0.130952380952381</v>
      </c>
    </row>
    <row r="7" customFormat="false" ht="15" hidden="false" customHeight="false" outlineLevel="0" collapsed="false">
      <c r="A7" s="12" t="s">
        <v>4</v>
      </c>
      <c r="B7" s="5" t="n">
        <v>9</v>
      </c>
      <c r="C7" s="6" t="n">
        <f aca="false">B7/252</f>
        <v>0.0357142857142857</v>
      </c>
    </row>
    <row r="8" customFormat="false" ht="15" hidden="false" customHeight="false" outlineLevel="0" collapsed="false">
      <c r="A8" s="8" t="s">
        <v>42</v>
      </c>
      <c r="B8" s="8" t="n">
        <v>252</v>
      </c>
    </row>
    <row r="11" customFormat="false" ht="17.35" hidden="false" customHeight="false" outlineLevel="0" collapsed="false">
      <c r="A11" s="14" t="s">
        <v>584</v>
      </c>
    </row>
    <row r="13" customFormat="false" ht="15" hidden="false" customHeight="false" outlineLevel="0" collapsed="false">
      <c r="A13" s="3" t="s">
        <v>585</v>
      </c>
      <c r="B13" s="3" t="s">
        <v>586</v>
      </c>
      <c r="C13" s="3" t="s">
        <v>587</v>
      </c>
      <c r="D13" s="3" t="s">
        <v>588</v>
      </c>
      <c r="E13" s="3" t="s">
        <v>48</v>
      </c>
    </row>
    <row r="14" customFormat="false" ht="15" hidden="false" customHeight="false" outlineLevel="0" collapsed="false">
      <c r="A14" s="5" t="s">
        <v>589</v>
      </c>
      <c r="B14" s="5" t="n">
        <v>69</v>
      </c>
      <c r="C14" s="5" t="n">
        <v>73</v>
      </c>
      <c r="D14" s="6" t="n">
        <f aca="false">B14/C14</f>
        <v>0.945205479452055</v>
      </c>
      <c r="E14" s="5" t="s">
        <v>590</v>
      </c>
    </row>
    <row r="15" customFormat="false" ht="15" hidden="false" customHeight="false" outlineLevel="0" collapsed="false">
      <c r="A15" s="5" t="s">
        <v>591</v>
      </c>
      <c r="B15" s="5" t="n">
        <v>51</v>
      </c>
      <c r="C15" s="5" t="n">
        <v>51</v>
      </c>
      <c r="D15" s="6" t="n">
        <f aca="false">B15/C15</f>
        <v>1</v>
      </c>
      <c r="E15" s="5" t="s">
        <v>592</v>
      </c>
    </row>
    <row r="16" customFormat="false" ht="15" hidden="false" customHeight="false" outlineLevel="0" collapsed="false">
      <c r="A16" s="5" t="s">
        <v>593</v>
      </c>
      <c r="B16" s="5" t="n">
        <v>80</v>
      </c>
      <c r="C16" s="5" t="n">
        <v>80</v>
      </c>
      <c r="D16" s="6" t="n">
        <f aca="false">B16/C16</f>
        <v>1</v>
      </c>
      <c r="E16" s="5" t="s">
        <v>594</v>
      </c>
    </row>
    <row r="17" customFormat="false" ht="15" hidden="false" customHeight="false" outlineLevel="0" collapsed="false">
      <c r="A17" s="5" t="s">
        <v>595</v>
      </c>
      <c r="B17" s="5" t="n">
        <v>27</v>
      </c>
      <c r="C17" s="5" t="n">
        <v>27</v>
      </c>
      <c r="D17" s="6" t="n">
        <f aca="false">B17/C17</f>
        <v>1</v>
      </c>
      <c r="E17" s="5" t="s">
        <v>596</v>
      </c>
    </row>
    <row r="18" customFormat="false" ht="15" hidden="false" customHeight="false" outlineLevel="0" collapsed="false">
      <c r="A18" s="5" t="s">
        <v>597</v>
      </c>
      <c r="B18" s="5" t="n">
        <v>12</v>
      </c>
      <c r="C18" s="5" t="n">
        <v>69</v>
      </c>
      <c r="D18" s="6" t="n">
        <f aca="false">B18/C18</f>
        <v>0.173913043478261</v>
      </c>
      <c r="E18" s="5" t="s">
        <v>598</v>
      </c>
    </row>
    <row r="19" customFormat="false" ht="15" hidden="false" customHeight="false" outlineLevel="0" collapsed="false">
      <c r="A19" s="5" t="s">
        <v>599</v>
      </c>
      <c r="B19" s="5" t="n">
        <v>2</v>
      </c>
      <c r="C19" s="5" t="n">
        <v>16</v>
      </c>
      <c r="D19" s="6" t="n">
        <f aca="false">B19/C19</f>
        <v>0.125</v>
      </c>
      <c r="E19" s="5" t="s">
        <v>600</v>
      </c>
    </row>
    <row r="20" customFormat="false" ht="15" hidden="false" customHeight="false" outlineLevel="0" collapsed="false">
      <c r="A20" s="5" t="s">
        <v>601</v>
      </c>
      <c r="B20" s="5" t="n">
        <v>14</v>
      </c>
      <c r="C20" s="5" t="n">
        <v>14</v>
      </c>
      <c r="D20" s="6" t="n">
        <f aca="false">B20/C20</f>
        <v>1</v>
      </c>
      <c r="E20" s="5" t="s">
        <v>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5" t="s">
        <v>603</v>
      </c>
    </row>
    <row r="3" customFormat="false" ht="15" hidden="false" customHeight="false" outlineLevel="0" collapsed="false">
      <c r="A3" s="3" t="s">
        <v>9</v>
      </c>
      <c r="B3" s="3" t="s">
        <v>604</v>
      </c>
      <c r="C3" s="3" t="s">
        <v>605</v>
      </c>
      <c r="D3" s="3" t="s">
        <v>606</v>
      </c>
      <c r="E3" s="3" t="s">
        <v>2</v>
      </c>
      <c r="F3" s="3" t="s">
        <v>607</v>
      </c>
    </row>
    <row r="4" customFormat="false" ht="15" hidden="false" customHeight="false" outlineLevel="0" collapsed="false">
      <c r="A4" s="11" t="s">
        <v>11</v>
      </c>
      <c r="B4" s="5" t="s">
        <v>608</v>
      </c>
      <c r="C4" s="5" t="s">
        <v>609</v>
      </c>
      <c r="D4" s="5" t="s">
        <v>610</v>
      </c>
      <c r="E4" s="5" t="s">
        <v>10</v>
      </c>
      <c r="F4" s="5" t="s">
        <v>611</v>
      </c>
    </row>
    <row r="5" customFormat="false" ht="15" hidden="false" customHeight="false" outlineLevel="0" collapsed="false">
      <c r="A5" s="11" t="s">
        <v>11</v>
      </c>
      <c r="B5" s="5" t="s">
        <v>612</v>
      </c>
      <c r="C5" s="5" t="s">
        <v>613</v>
      </c>
      <c r="D5" s="5" t="s">
        <v>614</v>
      </c>
      <c r="E5" s="5" t="s">
        <v>12</v>
      </c>
      <c r="F5" s="5" t="s">
        <v>615</v>
      </c>
    </row>
    <row r="6" customFormat="false" ht="15" hidden="false" customHeight="false" outlineLevel="0" collapsed="false">
      <c r="A6" s="11" t="s">
        <v>11</v>
      </c>
      <c r="B6" s="5" t="s">
        <v>616</v>
      </c>
      <c r="C6" s="5" t="s">
        <v>617</v>
      </c>
      <c r="D6" s="5" t="s">
        <v>618</v>
      </c>
      <c r="E6" s="5" t="s">
        <v>15</v>
      </c>
      <c r="F6" s="5" t="s">
        <v>619</v>
      </c>
    </row>
    <row r="7" customFormat="false" ht="15" hidden="false" customHeight="false" outlineLevel="0" collapsed="false">
      <c r="A7" s="11" t="s">
        <v>11</v>
      </c>
      <c r="B7" s="5" t="s">
        <v>620</v>
      </c>
      <c r="C7" s="5" t="s">
        <v>621</v>
      </c>
      <c r="D7" s="5" t="s">
        <v>610</v>
      </c>
      <c r="E7" s="5" t="s">
        <v>14</v>
      </c>
      <c r="F7" s="5" t="s">
        <v>622</v>
      </c>
    </row>
    <row r="8" customFormat="false" ht="15" hidden="false" customHeight="false" outlineLevel="0" collapsed="false">
      <c r="A8" s="11" t="s">
        <v>11</v>
      </c>
      <c r="B8" s="5" t="s">
        <v>623</v>
      </c>
      <c r="C8" s="5" t="s">
        <v>624</v>
      </c>
      <c r="D8" s="5" t="s">
        <v>614</v>
      </c>
      <c r="E8" s="5" t="s">
        <v>12</v>
      </c>
      <c r="F8" s="5" t="s">
        <v>625</v>
      </c>
    </row>
    <row r="9" customFormat="false" ht="15" hidden="false" customHeight="false" outlineLevel="0" collapsed="false">
      <c r="A9" s="13" t="s">
        <v>18</v>
      </c>
      <c r="B9" s="5" t="s">
        <v>626</v>
      </c>
      <c r="C9" s="5" t="s">
        <v>627</v>
      </c>
      <c r="D9" s="5" t="s">
        <v>628</v>
      </c>
      <c r="E9" s="5" t="s">
        <v>214</v>
      </c>
      <c r="F9" s="5" t="s">
        <v>629</v>
      </c>
    </row>
    <row r="10" customFormat="false" ht="15" hidden="false" customHeight="false" outlineLevel="0" collapsed="false">
      <c r="A10" s="13" t="s">
        <v>18</v>
      </c>
      <c r="B10" s="5" t="s">
        <v>630</v>
      </c>
      <c r="C10" s="5" t="s">
        <v>631</v>
      </c>
      <c r="D10" s="5" t="s">
        <v>610</v>
      </c>
      <c r="E10" s="5" t="s">
        <v>20</v>
      </c>
      <c r="F10" s="5" t="s">
        <v>632</v>
      </c>
    </row>
    <row r="11" customFormat="false" ht="15" hidden="false" customHeight="false" outlineLevel="0" collapsed="false">
      <c r="A11" s="13" t="s">
        <v>18</v>
      </c>
      <c r="B11" s="5" t="s">
        <v>633</v>
      </c>
      <c r="C11" s="5" t="s">
        <v>634</v>
      </c>
      <c r="D11" s="5" t="s">
        <v>610</v>
      </c>
      <c r="E11" s="5" t="s">
        <v>278</v>
      </c>
      <c r="F11" s="5" t="s">
        <v>635</v>
      </c>
    </row>
    <row r="12" customFormat="false" ht="15" hidden="false" customHeight="false" outlineLevel="0" collapsed="false">
      <c r="A12" s="13" t="s">
        <v>18</v>
      </c>
      <c r="B12" s="5" t="s">
        <v>636</v>
      </c>
      <c r="C12" s="5" t="s">
        <v>637</v>
      </c>
      <c r="D12" s="5" t="s">
        <v>618</v>
      </c>
      <c r="E12" s="5" t="s">
        <v>32</v>
      </c>
      <c r="F12" s="5" t="s">
        <v>638</v>
      </c>
    </row>
    <row r="13" customFormat="false" ht="15" hidden="false" customHeight="false" outlineLevel="0" collapsed="false">
      <c r="A13" s="13" t="s">
        <v>18</v>
      </c>
      <c r="B13" s="5" t="s">
        <v>639</v>
      </c>
      <c r="C13" s="5" t="s">
        <v>640</v>
      </c>
      <c r="D13" s="5" t="s">
        <v>641</v>
      </c>
      <c r="E13" s="5" t="s">
        <v>31</v>
      </c>
      <c r="F13" s="5" t="s">
        <v>642</v>
      </c>
    </row>
    <row r="14" customFormat="false" ht="15" hidden="false" customHeight="false" outlineLevel="0" collapsed="false">
      <c r="A14" s="13" t="s">
        <v>18</v>
      </c>
      <c r="B14" s="5" t="s">
        <v>643</v>
      </c>
      <c r="C14" s="5" t="s">
        <v>644</v>
      </c>
      <c r="D14" s="5" t="s">
        <v>614</v>
      </c>
      <c r="E14" s="5" t="s">
        <v>17</v>
      </c>
      <c r="F14" s="5" t="s">
        <v>645</v>
      </c>
    </row>
    <row r="15" customFormat="false" ht="15" hidden="false" customHeight="false" outlineLevel="0" collapsed="false">
      <c r="A15" s="13" t="s">
        <v>18</v>
      </c>
      <c r="B15" s="5" t="s">
        <v>646</v>
      </c>
      <c r="C15" s="5" t="s">
        <v>647</v>
      </c>
      <c r="D15" s="5" t="s">
        <v>648</v>
      </c>
      <c r="E15" s="5" t="s">
        <v>22</v>
      </c>
      <c r="F15" s="5" t="s">
        <v>649</v>
      </c>
    </row>
    <row r="16" customFormat="false" ht="15" hidden="false" customHeight="false" outlineLevel="0" collapsed="false">
      <c r="A16" s="13" t="s">
        <v>18</v>
      </c>
      <c r="B16" s="5" t="s">
        <v>650</v>
      </c>
      <c r="C16" s="5" t="s">
        <v>651</v>
      </c>
      <c r="D16" s="5" t="s">
        <v>614</v>
      </c>
      <c r="E16" s="5" t="s">
        <v>24</v>
      </c>
      <c r="F16" s="5" t="s">
        <v>652</v>
      </c>
    </row>
    <row r="17" customFormat="false" ht="15" hidden="false" customHeight="false" outlineLevel="0" collapsed="false">
      <c r="A17" s="10" t="s">
        <v>26</v>
      </c>
      <c r="B17" s="5" t="s">
        <v>653</v>
      </c>
      <c r="C17" s="5" t="s">
        <v>654</v>
      </c>
      <c r="D17" s="5" t="s">
        <v>641</v>
      </c>
      <c r="E17" s="5" t="s">
        <v>27</v>
      </c>
      <c r="F17" s="5" t="s">
        <v>655</v>
      </c>
    </row>
    <row r="18" customFormat="false" ht="15" hidden="false" customHeight="false" outlineLevel="0" collapsed="false">
      <c r="A18" s="10" t="s">
        <v>26</v>
      </c>
      <c r="B18" s="5" t="s">
        <v>656</v>
      </c>
      <c r="C18" s="5" t="s">
        <v>657</v>
      </c>
      <c r="D18" s="5" t="s">
        <v>648</v>
      </c>
      <c r="E18" s="5" t="s">
        <v>28</v>
      </c>
      <c r="F18" s="5" t="s">
        <v>658</v>
      </c>
    </row>
    <row r="19" customFormat="false" ht="15" hidden="false" customHeight="false" outlineLevel="0" collapsed="false">
      <c r="A19" s="10" t="s">
        <v>26</v>
      </c>
      <c r="B19" s="5" t="s">
        <v>659</v>
      </c>
      <c r="C19" s="5" t="s">
        <v>660</v>
      </c>
      <c r="D19" s="5" t="s">
        <v>648</v>
      </c>
      <c r="E19" s="5" t="s">
        <v>334</v>
      </c>
      <c r="F19" s="5" t="s">
        <v>661</v>
      </c>
    </row>
    <row r="20" customFormat="false" ht="15" hidden="false" customHeight="false" outlineLevel="0" collapsed="false">
      <c r="A20" s="10" t="s">
        <v>26</v>
      </c>
      <c r="B20" s="5" t="s">
        <v>662</v>
      </c>
      <c r="C20" s="5" t="s">
        <v>663</v>
      </c>
      <c r="D20" s="5" t="s">
        <v>610</v>
      </c>
      <c r="E20" s="5" t="s">
        <v>33</v>
      </c>
      <c r="F20" s="5" t="s">
        <v>664</v>
      </c>
    </row>
    <row r="21" customFormat="false" ht="15" hidden="false" customHeight="false" outlineLevel="0" collapsed="false">
      <c r="A21" s="10" t="s">
        <v>26</v>
      </c>
      <c r="B21" s="5" t="s">
        <v>665</v>
      </c>
      <c r="C21" s="5" t="s">
        <v>666</v>
      </c>
      <c r="D21" s="5" t="s">
        <v>628</v>
      </c>
      <c r="E21" s="5" t="s">
        <v>39</v>
      </c>
      <c r="F21" s="5" t="s">
        <v>667</v>
      </c>
    </row>
    <row r="22" customFormat="false" ht="15" hidden="false" customHeight="false" outlineLevel="0" collapsed="false">
      <c r="A22" s="16" t="s">
        <v>35</v>
      </c>
      <c r="B22" s="5" t="s">
        <v>668</v>
      </c>
      <c r="C22" s="5" t="s">
        <v>669</v>
      </c>
      <c r="D22" s="5" t="s">
        <v>628</v>
      </c>
      <c r="E22" s="5" t="s">
        <v>34</v>
      </c>
      <c r="F22" s="5" t="s">
        <v>670</v>
      </c>
    </row>
    <row r="23" customFormat="false" ht="15" hidden="false" customHeight="false" outlineLevel="0" collapsed="false">
      <c r="A23" s="16" t="s">
        <v>35</v>
      </c>
      <c r="B23" s="5" t="s">
        <v>671</v>
      </c>
      <c r="C23" s="5" t="s">
        <v>672</v>
      </c>
      <c r="D23" s="5" t="s">
        <v>641</v>
      </c>
      <c r="E23" s="5" t="s">
        <v>36</v>
      </c>
      <c r="F23" s="5" t="s">
        <v>673</v>
      </c>
    </row>
    <row r="24" customFormat="false" ht="15" hidden="false" customHeight="false" outlineLevel="0" collapsed="false">
      <c r="A24" s="16" t="s">
        <v>35</v>
      </c>
      <c r="B24" s="5" t="s">
        <v>674</v>
      </c>
      <c r="C24" s="5" t="s">
        <v>675</v>
      </c>
      <c r="D24" s="5" t="s">
        <v>641</v>
      </c>
      <c r="E24" s="5" t="s">
        <v>40</v>
      </c>
      <c r="F24" s="5" t="s">
        <v>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2026-03-06T07:12:30Z</dcterms:created>
  <dc:creator>openpyxl</dc:creator>
  <dc:description/>
  <dc:language>en-US</dc:language>
  <cp:lastModifiedBy/>
  <dcterms:modified xsi:type="dcterms:W3CDTF">2026-03-06T07:12:30Z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